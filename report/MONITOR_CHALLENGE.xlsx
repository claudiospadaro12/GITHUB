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GIORNALIERO" sheetId="3" state="visible" r:id="rId3"/>
    <sheet xmlns:r="http://schemas.openxmlformats.org/officeDocument/2006/relationships" name="PRELIEVI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EUR&quot;;(#,##0&quot; EUR&quot;);-"/>
    <numFmt numFmtId="165" formatCode="0.00%;(0.00%);-"/>
    <numFmt numFmtId="166" formatCode="#,##0.00&quot; EUR&quot;;(#,##0.00&quot; EUR&quot;);-"/>
    <numFmt numFmtId="167" formatCode="DD/MM/YYYY"/>
    <numFmt numFmtId="168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1"/>
    </font>
    <font>
      <name val="Arial"/>
      <color rgb="000000FF"/>
    </font>
    <font>
      <name val="Arial"/>
      <color rgb="00808080"/>
      <sz val="9"/>
    </font>
    <font>
      <name val="Arial"/>
      <b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FF9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4" fillId="2" borderId="0" pivotButton="0" quotePrefix="0" xfId="0"/>
    <xf numFmtId="0" fontId="5" fillId="0" borderId="0" applyAlignment="1" pivotButton="0" quotePrefix="0" xfId="0">
      <alignment wrapText="1"/>
    </xf>
    <xf numFmtId="165" fontId="4" fillId="2" borderId="0" pivotButton="0" quotePrefix="0" xfId="0"/>
    <xf numFmtId="2" fontId="4" fillId="2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7" fontId="4" fillId="2" borderId="1" pivotButton="0" quotePrefix="0" xfId="0"/>
    <xf numFmtId="166" fontId="4" fillId="2" borderId="1" pivotButton="0" quotePrefix="0" xfId="0"/>
    <xf numFmtId="166" fontId="4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7" fontId="4" fillId="4" borderId="1" pivotButton="0" quotePrefix="0" xfId="0"/>
    <xf numFmtId="166" fontId="4" fillId="4" borderId="1" pivotButton="0" quotePrefix="0" xfId="0"/>
    <xf numFmtId="167" fontId="4" fillId="0" borderId="1" pivotButton="0" quotePrefix="0" xfId="0"/>
    <xf numFmtId="0" fontId="4" fillId="0" borderId="1" pivotButton="0" quotePrefix="0" xfId="0"/>
    <xf numFmtId="1" fontId="7" fillId="0" borderId="0" pivotButton="0" quotePrefix="0" xfId="0"/>
    <xf numFmtId="0" fontId="5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8" fontId="7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monitor</author>
  </authors>
  <commentList>
    <comment ref="D1" authorId="0" shapeId="0">
      <text>
        <t>Facoltativa ma preziosa: la prop misura i muri sul FLOTTANTE. Se la compili, margini e distanze usano il minimo intraday.</t>
      </text>
    </comment>
    <comment ref="E1" authorId="0" shapeId="0">
      <text>
        <t>Formula: equity di oggi - equity di ieri + prelievo di oggi (cosi' il prelievo non conta come perdita).</t>
      </text>
    </comment>
    <comment ref="A2" authorId="0" shapeId="0">
      <text>
        <t>RIGA DI ESEMPIO con valori finti: sovrascrivila col primo giorno vero.</t>
      </text>
    </comment>
  </commentList>
</comments>
</file>

<file path=xl/comments/comment2.xml><?xml version="1.0" encoding="utf-8"?>
<comments xmlns="http://schemas.openxmlformats.org/spreadsheetml/2006/main">
  <authors>
    <author>monitor</author>
  </authors>
  <commentList>
    <comment ref="B1" authorId="0" shapeId="0">
      <text>
        <t>Lordo richiesto alla prop. IMPORTANTE: riportare lo stesso importo anche nel GIORNALIERO, colonna 'Prelievo del giorno', alla data in cui l'equity del conto scende.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MONITOR CHALLENGE / FUNDED - registro di prelievi, profitti e muri</t>
        </is>
      </c>
    </row>
    <row r="2">
      <c r="A2" s="2" t="inlineStr">
        <is>
          <t>Creato il 26/08/2026. Numeri di riferimento: analisi di casa sul dataset 481 giorni (ANALISI_DIAL_TAGLIE e ANALISI_DD_TOTALE del 26/08/2026, repo GitHub, branch lavoro).</t>
        </is>
      </c>
    </row>
    <row r="3">
      <c r="A3" s="2" t="inlineStr"/>
    </row>
    <row r="4">
      <c r="A4" s="3" t="inlineStr">
        <is>
          <t>COME SI USA</t>
        </is>
      </c>
    </row>
    <row r="5">
      <c r="A5" s="2" t="inlineStr">
        <is>
          <t>1. Foglio IMPOSTAZIONI: compila le celle GIALLE con i dati della prop scelta (taglia, muri, split, costo). Tutto il resto si calcola da solo.</t>
        </is>
      </c>
    </row>
    <row r="6">
      <c r="A6" s="2" t="inlineStr">
        <is>
          <t>2. Foglio GIORNALIERO: una riga al giorno, a mercati chiusi. Compili SOLO le 3 colonne gialle: data, equity di chiusura, eventuale prelievo del giorno. Facoltativa: equity minima intraday se la leggi dal terminale (i muri delle prop guardano il FLOTTANTE).</t>
        </is>
      </c>
    </row>
    <row r="7">
      <c r="A7" s="2" t="inlineStr">
        <is>
          <t>3. Foglio PRELIEVI: una riga per ogni payout richiesto.</t>
        </is>
      </c>
    </row>
    <row r="8">
      <c r="A8" s="2" t="inlineStr">
        <is>
          <t>4. Foglio DASHBOARD: solo lettura, si aggiorna da solo.</t>
        </is>
      </c>
    </row>
    <row r="9">
      <c r="A9" s="2" t="inlineStr"/>
    </row>
    <row r="10">
      <c r="A10" s="2" t="inlineStr">
        <is>
          <t>COLORI: GIALLO = cella da compilare a mano. Testo BLU = valore inserito a mano. Testo NERO = formula (non toccare). Testo VERDE = collegamento a un altro foglio.</t>
        </is>
      </c>
    </row>
    <row r="11">
      <c r="A11" s="2" t="inlineStr">
        <is>
          <t>La riga 2 del GIORNALIERO e la riga 2 dei PRELIEVI sono ESEMPI con valori finti: sovrascrivile coi tuoi dati veri.</t>
        </is>
      </c>
    </row>
    <row r="12">
      <c r="A12" s="2" t="inlineStr"/>
    </row>
    <row r="13">
      <c r="A13" s="3" t="inlineStr">
        <is>
          <t>LE DUE COSE DA SAPERE SUI MURI</t>
        </is>
      </c>
    </row>
    <row r="14">
      <c r="A14" s="2" t="inlineStr">
        <is>
          <t>- Il muro GIORNALIERO si calcola sull'equity di inizio giornata: la colonna 'Perdita max oggi' te lo dice gia' in euro, giorno per giorno.</t>
        </is>
      </c>
    </row>
    <row r="15">
      <c r="A15" s="2" t="inlineStr">
        <is>
          <t>- Il muro TOTALE (statico) si calcola sul saldo INIZIALE: quando PRELEVI, l'equity scende e ti AVVICINI al muro. E' il motivo della politica del buffer: prelevare si', ma lasciando un cuscino (vedi DASHBOARD, riga 'cuscino sopra il saldo iniziale').</t>
        </is>
      </c>
    </row>
    <row r="16">
      <c r="A16" s="2" t="inlineStr"/>
    </row>
    <row r="17">
      <c r="A17" s="2" t="inlineStr">
        <is>
          <t>ATTENZIONE: questo registro lavora sui numeri di CHIUSURA che inserisci tu. Il flottante intraday lo vede solo la colonna facoltativa 'Equity minima intraday': se la compili, il controllo dei muri diventa molto piu' fedele a quello della prop.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4" customWidth="1" min="3" max="3"/>
  </cols>
  <sheetData>
    <row r="1">
      <c r="A1" s="4" t="inlineStr">
        <is>
          <t>IMPOSTAZIONI DELLA PROP (celle gialle = da compilare)</t>
        </is>
      </c>
    </row>
    <row r="3">
      <c r="A3" s="5" t="inlineStr">
        <is>
          <t>Taglia del conto (saldo iniziale)</t>
        </is>
      </c>
      <c r="B3" s="6" t="n">
        <v>100000</v>
      </c>
      <c r="C3" s="7" t="inlineStr">
        <is>
          <t>Compilare con la taglia comprata (es. 100000, 200000...)</t>
        </is>
      </c>
    </row>
    <row r="4">
      <c r="A4" s="5" t="inlineStr">
        <is>
          <t>Muro giornaliero (% dell'equity di inizio giornata)</t>
        </is>
      </c>
      <c r="B4" s="8" t="n">
        <v>0.05</v>
      </c>
      <c r="C4" s="7" t="inlineStr">
        <is>
          <t>Dalla scheda regole della prop. Standard: 5%</t>
        </is>
      </c>
    </row>
    <row r="5">
      <c r="A5" s="5" t="inlineStr">
        <is>
          <t>Muro totale statico (% del saldo iniziale)</t>
        </is>
      </c>
      <c r="B5" s="8" t="n">
        <v>0.1</v>
      </c>
      <c r="C5" s="7" t="inlineStr">
        <is>
          <t>Dalla scheda regole. Standard: 10%. Se la prop ha muro TRAILING: NON comprarla (analisi 26/08: picco-valle 6,37% romperebbe un trailing 6% anche sui chiusi)</t>
        </is>
      </c>
    </row>
    <row r="6">
      <c r="A6" s="5" t="inlineStr">
        <is>
          <t>Profit split (quota tua sui profitti)</t>
        </is>
      </c>
      <c r="B6" s="8" t="n">
        <v>0.85</v>
      </c>
      <c r="C6" s="7" t="inlineStr">
        <is>
          <t>Dalla scheda payout della prop scelta (tipico 80-90%)</t>
        </is>
      </c>
    </row>
    <row r="7">
      <c r="A7" s="5" t="inlineStr">
        <is>
          <t>Costo della challenge</t>
        </is>
      </c>
      <c r="B7" s="6" t="n">
        <v>500</v>
      </c>
      <c r="C7" s="7" t="inlineStr">
        <is>
          <t>Prezzo pagato (per il calcolo del ROI in DASHBOARD)</t>
        </is>
      </c>
    </row>
    <row r="8">
      <c r="A8" s="5" t="inlineStr">
        <is>
          <t>Dial di rischio in campo</t>
        </is>
      </c>
      <c r="B8" s="9" t="n">
        <v>1</v>
      </c>
      <c r="C8" s="7" t="inlineStr">
        <is>
          <t>Firmato: challenge a 1,00. Proposta due-dial: funded a 0,74 (da firmare all'apertura)</t>
        </is>
      </c>
    </row>
    <row r="9">
      <c r="A9" s="5" t="inlineStr"/>
      <c r="B9" s="5" t="n"/>
      <c r="C9" s="7" t="inlineStr"/>
    </row>
    <row r="10">
      <c r="A10" s="5" t="inlineStr">
        <is>
          <t>Muro totale in euro (sotto questo saldo = conto perso)</t>
        </is>
      </c>
      <c r="B10" s="10">
        <f>B2*(1-B4)</f>
        <v/>
      </c>
      <c r="C10" s="7" t="inlineStr">
        <is>
          <t>Formula: saldo iniziale x (1 - muro totale)</t>
        </is>
      </c>
    </row>
    <row r="11">
      <c r="A11" s="5" t="inlineStr">
        <is>
          <t>Perdita giornaliera limite sul saldo pieno</t>
        </is>
      </c>
      <c r="B11" s="10">
        <f>B2*B3</f>
        <v/>
      </c>
      <c r="C11" s="7" t="inlineStr">
        <is>
          <t>Formula: saldo iniziale x muro giornaliero (il valore vivo, giorno per giorno, sta nel GIORNALIERO)</t>
        </is>
      </c>
    </row>
    <row r="12">
      <c r="A12" s="5" t="inlineStr"/>
      <c r="B12" s="5" t="n"/>
      <c r="C12" s="7" t="inlineStr"/>
    </row>
    <row r="13">
      <c r="A13" s="11" t="inlineStr">
        <is>
          <t>RIFERIMENTI MISURATI DI CASA (non toccare)</t>
        </is>
      </c>
      <c r="B13" s="5" t="n"/>
      <c r="C13" s="7" t="inlineStr"/>
    </row>
    <row r="14">
      <c r="A14" s="5" t="inlineStr">
        <is>
          <t>Peggior giornata attesa (chiusi, dial 1,00)</t>
        </is>
      </c>
      <c r="B14" s="12" t="n">
        <v>-0.0474</v>
      </c>
      <c r="C14" s="7" t="inlineStr">
        <is>
          <t>ANALISI_DIAL_TAGLIE 26/08/2026 su 481 giorni</t>
        </is>
      </c>
    </row>
    <row r="15">
      <c r="A15" s="5" t="inlineStr">
        <is>
          <t>Peggior DD totale atteso in challenge (chiusi)</t>
        </is>
      </c>
      <c r="B15" s="12" t="n">
        <v>-0.06370000000000001</v>
      </c>
      <c r="C15" s="7" t="inlineStr">
        <is>
          <t>ANALISI_DD_TOTALE 26/08/2026: worst su 481 partenze; p99 -5,83%</t>
        </is>
      </c>
    </row>
    <row r="16">
      <c r="A16" s="5" t="inlineStr">
        <is>
          <t>Guardian: pausa / emergenza (perdita giornaliera)</t>
        </is>
      </c>
      <c r="B16" s="5" t="inlineStr">
        <is>
          <t>4,0% / 4,9%</t>
        </is>
      </c>
      <c r="C16" s="7" t="inlineStr">
        <is>
          <t>Pacchetto firmato il 18/08/2026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8" customWidth="1" min="5" max="5"/>
    <col width="16" customWidth="1" min="6" max="6"/>
    <col width="24" customWidth="1" min="7" max="7"/>
    <col width="26" customWidth="1" min="8" max="8"/>
    <col width="24" customWidth="1" min="9" max="9"/>
    <col width="26" customWidth="1" min="10" max="10"/>
    <col width="16" customWidth="1" min="11" max="11"/>
  </cols>
  <sheetData>
    <row r="1">
      <c r="A1" s="13" t="inlineStr">
        <is>
          <t>Data</t>
        </is>
      </c>
      <c r="B1" s="13" t="inlineStr">
        <is>
          <t>Equity chiusura (EUR)</t>
        </is>
      </c>
      <c r="C1" s="13" t="inlineStr">
        <is>
          <t>Prelievo del giorno (EUR)</t>
        </is>
      </c>
      <c r="D1" s="13" t="inlineStr">
        <is>
          <t>Equity min intraday (EUR, facolt.)</t>
        </is>
      </c>
      <c r="E1" s="13" t="inlineStr">
        <is>
          <t>P&amp;L del giorno (EUR)</t>
        </is>
      </c>
      <c r="F1" s="13" t="inlineStr">
        <is>
          <t>P&amp;L del giorno (%)</t>
        </is>
      </c>
      <c r="G1" s="13" t="inlineStr">
        <is>
          <t>Perdita max oggi (EUR, muro 5%)</t>
        </is>
      </c>
      <c r="H1" s="13" t="inlineStr">
        <is>
          <t>Margine sul muro giornaliero (EUR)</t>
        </is>
      </c>
      <c r="I1" s="13" t="inlineStr">
        <is>
          <t>Distanza dal muro totale (EUR)</t>
        </is>
      </c>
      <c r="J1" s="13" t="inlineStr">
        <is>
          <t>Cuscino sopra saldo iniziale (EUR)</t>
        </is>
      </c>
      <c r="K1" s="13" t="inlineStr">
        <is>
          <t>ESITO</t>
        </is>
      </c>
    </row>
    <row r="2">
      <c r="A2" s="14">
        <f>DATE(2026,10,1)</f>
        <v/>
      </c>
      <c r="B2" s="15" t="n">
        <v>100650</v>
      </c>
      <c r="C2" s="15" t="n"/>
      <c r="D2" s="16" t="n">
        <v>99800</v>
      </c>
      <c r="E2" s="17">
        <f>IF($B2="","",B2-IF(ROW()=2,IMPOSTAZIONI!$B$3,B1)+IF(C2="",0,C2))</f>
        <v/>
      </c>
      <c r="F2" s="18">
        <f>IF($B2="","",E2/IF(ROW()=2,IMPOSTAZIONI!$B$3,B1))</f>
        <v/>
      </c>
      <c r="G2" s="17">
        <f>IF($B2="","",IF(ROW()=2,IMPOSTAZIONI!$B$3,B1)*IMPOSTAZIONI!$B$4)</f>
        <v/>
      </c>
      <c r="H2" s="17">
        <f>IF($B2="","",G2+MIN(0,IF(D2="",E2,MIN(E2,D2-IF(ROW()=2,IMPOSTAZIONI!$B$3,B1)))))</f>
        <v/>
      </c>
      <c r="I2" s="17">
        <f>IF($B2="","",IF(D2="",B2,MIN(B2,D2))-IMPOSTAZIONI!$B$10)</f>
        <v/>
      </c>
      <c r="J2" s="17">
        <f>IF($B2="","",B2-IMPOSTAZIONI!$B$3)</f>
        <v/>
      </c>
      <c r="K2" s="19">
        <f>IF($B2="","",IF(OR(H2&lt;=0,I2&lt;=0),"VIOLAZIONE",IF(OR(H2&lt;IF(ROW()=2,IMPOSTAZIONI!$B$3,B1)*0.01,I2&lt;IMPOSTAZIONI!$B$3*0.02),"ATTENZIONE","OK")))</f>
        <v/>
      </c>
    </row>
    <row r="3">
      <c r="A3" s="20" t="n"/>
      <c r="B3" s="21" t="n"/>
      <c r="C3" s="21" t="n"/>
      <c r="D3" s="16" t="n"/>
      <c r="E3" s="17">
        <f>IF($B3="","",B3-IF(ROW()=2,IMPOSTAZIONI!$B$3,B2)+IF(C3="",0,C3))</f>
        <v/>
      </c>
      <c r="F3" s="18">
        <f>IF($B3="","",E3/IF(ROW()=2,IMPOSTAZIONI!$B$3,B2))</f>
        <v/>
      </c>
      <c r="G3" s="17">
        <f>IF($B3="","",IF(ROW()=2,IMPOSTAZIONI!$B$3,B2)*IMPOSTAZIONI!$B$4)</f>
        <v/>
      </c>
      <c r="H3" s="17">
        <f>IF($B3="","",G3+MIN(0,IF(D3="",E3,MIN(E3,D3-IF(ROW()=2,IMPOSTAZIONI!$B$3,B2)))))</f>
        <v/>
      </c>
      <c r="I3" s="17">
        <f>IF($B3="","",IF(D3="",B3,MIN(B3,D3))-IMPOSTAZIONI!$B$10)</f>
        <v/>
      </c>
      <c r="J3" s="17">
        <f>IF($B3="","",B3-IMPOSTAZIONI!$B$3)</f>
        <v/>
      </c>
      <c r="K3" s="19">
        <f>IF($B3="","",IF(OR(H3&lt;=0,I3&lt;=0),"VIOLAZIONE",IF(OR(H3&lt;IF(ROW()=2,IMPOSTAZIONI!$B$3,B2)*0.01,I3&lt;IMPOSTAZIONI!$B$3*0.02),"ATTENZIONE","OK")))</f>
        <v/>
      </c>
    </row>
    <row r="4">
      <c r="A4" s="20" t="n"/>
      <c r="B4" s="21" t="n"/>
      <c r="C4" s="21" t="n"/>
      <c r="D4" s="16" t="n"/>
      <c r="E4" s="17">
        <f>IF($B4="","",B4-IF(ROW()=2,IMPOSTAZIONI!$B$3,B3)+IF(C4="",0,C4))</f>
        <v/>
      </c>
      <c r="F4" s="18">
        <f>IF($B4="","",E4/IF(ROW()=2,IMPOSTAZIONI!$B$3,B3))</f>
        <v/>
      </c>
      <c r="G4" s="17">
        <f>IF($B4="","",IF(ROW()=2,IMPOSTAZIONI!$B$3,B3)*IMPOSTAZIONI!$B$4)</f>
        <v/>
      </c>
      <c r="H4" s="17">
        <f>IF($B4="","",G4+MIN(0,IF(D4="",E4,MIN(E4,D4-IF(ROW()=2,IMPOSTAZIONI!$B$3,B3)))))</f>
        <v/>
      </c>
      <c r="I4" s="17">
        <f>IF($B4="","",IF(D4="",B4,MIN(B4,D4))-IMPOSTAZIONI!$B$10)</f>
        <v/>
      </c>
      <c r="J4" s="17">
        <f>IF($B4="","",B4-IMPOSTAZIONI!$B$3)</f>
        <v/>
      </c>
      <c r="K4" s="19">
        <f>IF($B4="","",IF(OR(H4&lt;=0,I4&lt;=0),"VIOLAZIONE",IF(OR(H4&lt;IF(ROW()=2,IMPOSTAZIONI!$B$3,B3)*0.01,I4&lt;IMPOSTAZIONI!$B$3*0.02),"ATTENZIONE","OK")))</f>
        <v/>
      </c>
    </row>
    <row r="5">
      <c r="A5" s="20" t="n"/>
      <c r="B5" s="21" t="n"/>
      <c r="C5" s="21" t="n"/>
      <c r="D5" s="16" t="n"/>
      <c r="E5" s="17">
        <f>IF($B5="","",B5-IF(ROW()=2,IMPOSTAZIONI!$B$3,B4)+IF(C5="",0,C5))</f>
        <v/>
      </c>
      <c r="F5" s="18">
        <f>IF($B5="","",E5/IF(ROW()=2,IMPOSTAZIONI!$B$3,B4))</f>
        <v/>
      </c>
      <c r="G5" s="17">
        <f>IF($B5="","",IF(ROW()=2,IMPOSTAZIONI!$B$3,B4)*IMPOSTAZIONI!$B$4)</f>
        <v/>
      </c>
      <c r="H5" s="17">
        <f>IF($B5="","",G5+MIN(0,IF(D5="",E5,MIN(E5,D5-IF(ROW()=2,IMPOSTAZIONI!$B$3,B4)))))</f>
        <v/>
      </c>
      <c r="I5" s="17">
        <f>IF($B5="","",IF(D5="",B5,MIN(B5,D5))-IMPOSTAZIONI!$B$10)</f>
        <v/>
      </c>
      <c r="J5" s="17">
        <f>IF($B5="","",B5-IMPOSTAZIONI!$B$3)</f>
        <v/>
      </c>
      <c r="K5" s="19">
        <f>IF($B5="","",IF(OR(H5&lt;=0,I5&lt;=0),"VIOLAZIONE",IF(OR(H5&lt;IF(ROW()=2,IMPOSTAZIONI!$B$3,B4)*0.01,I5&lt;IMPOSTAZIONI!$B$3*0.02),"ATTENZIONE","OK")))</f>
        <v/>
      </c>
    </row>
    <row r="6">
      <c r="A6" s="20" t="n"/>
      <c r="B6" s="21" t="n"/>
      <c r="C6" s="21" t="n"/>
      <c r="D6" s="16" t="n"/>
      <c r="E6" s="17">
        <f>IF($B6="","",B6-IF(ROW()=2,IMPOSTAZIONI!$B$3,B5)+IF(C6="",0,C6))</f>
        <v/>
      </c>
      <c r="F6" s="18">
        <f>IF($B6="","",E6/IF(ROW()=2,IMPOSTAZIONI!$B$3,B5))</f>
        <v/>
      </c>
      <c r="G6" s="17">
        <f>IF($B6="","",IF(ROW()=2,IMPOSTAZIONI!$B$3,B5)*IMPOSTAZIONI!$B$4)</f>
        <v/>
      </c>
      <c r="H6" s="17">
        <f>IF($B6="","",G6+MIN(0,IF(D6="",E6,MIN(E6,D6-IF(ROW()=2,IMPOSTAZIONI!$B$3,B5)))))</f>
        <v/>
      </c>
      <c r="I6" s="17">
        <f>IF($B6="","",IF(D6="",B6,MIN(B6,D6))-IMPOSTAZIONI!$B$10)</f>
        <v/>
      </c>
      <c r="J6" s="17">
        <f>IF($B6="","",B6-IMPOSTAZIONI!$B$3)</f>
        <v/>
      </c>
      <c r="K6" s="19">
        <f>IF($B6="","",IF(OR(H6&lt;=0,I6&lt;=0),"VIOLAZIONE",IF(OR(H6&lt;IF(ROW()=2,IMPOSTAZIONI!$B$3,B5)*0.01,I6&lt;IMPOSTAZIONI!$B$3*0.02),"ATTENZIONE","OK")))</f>
        <v/>
      </c>
    </row>
    <row r="7">
      <c r="A7" s="20" t="n"/>
      <c r="B7" s="21" t="n"/>
      <c r="C7" s="21" t="n"/>
      <c r="D7" s="16" t="n"/>
      <c r="E7" s="17">
        <f>IF($B7="","",B7-IF(ROW()=2,IMPOSTAZIONI!$B$3,B6)+IF(C7="",0,C7))</f>
        <v/>
      </c>
      <c r="F7" s="18">
        <f>IF($B7="","",E7/IF(ROW()=2,IMPOSTAZIONI!$B$3,B6))</f>
        <v/>
      </c>
      <c r="G7" s="17">
        <f>IF($B7="","",IF(ROW()=2,IMPOSTAZIONI!$B$3,B6)*IMPOSTAZIONI!$B$4)</f>
        <v/>
      </c>
      <c r="H7" s="17">
        <f>IF($B7="","",G7+MIN(0,IF(D7="",E7,MIN(E7,D7-IF(ROW()=2,IMPOSTAZIONI!$B$3,B6)))))</f>
        <v/>
      </c>
      <c r="I7" s="17">
        <f>IF($B7="","",IF(D7="",B7,MIN(B7,D7))-IMPOSTAZIONI!$B$10)</f>
        <v/>
      </c>
      <c r="J7" s="17">
        <f>IF($B7="","",B7-IMPOSTAZIONI!$B$3)</f>
        <v/>
      </c>
      <c r="K7" s="19">
        <f>IF($B7="","",IF(OR(H7&lt;=0,I7&lt;=0),"VIOLAZIONE",IF(OR(H7&lt;IF(ROW()=2,IMPOSTAZIONI!$B$3,B6)*0.01,I7&lt;IMPOSTAZIONI!$B$3*0.02),"ATTENZIONE","OK")))</f>
        <v/>
      </c>
    </row>
    <row r="8">
      <c r="A8" s="20" t="n"/>
      <c r="B8" s="21" t="n"/>
      <c r="C8" s="21" t="n"/>
      <c r="D8" s="16" t="n"/>
      <c r="E8" s="17">
        <f>IF($B8="","",B8-IF(ROW()=2,IMPOSTAZIONI!$B$3,B7)+IF(C8="",0,C8))</f>
        <v/>
      </c>
      <c r="F8" s="18">
        <f>IF($B8="","",E8/IF(ROW()=2,IMPOSTAZIONI!$B$3,B7))</f>
        <v/>
      </c>
      <c r="G8" s="17">
        <f>IF($B8="","",IF(ROW()=2,IMPOSTAZIONI!$B$3,B7)*IMPOSTAZIONI!$B$4)</f>
        <v/>
      </c>
      <c r="H8" s="17">
        <f>IF($B8="","",G8+MIN(0,IF(D8="",E8,MIN(E8,D8-IF(ROW()=2,IMPOSTAZIONI!$B$3,B7)))))</f>
        <v/>
      </c>
      <c r="I8" s="17">
        <f>IF($B8="","",IF(D8="",B8,MIN(B8,D8))-IMPOSTAZIONI!$B$10)</f>
        <v/>
      </c>
      <c r="J8" s="17">
        <f>IF($B8="","",B8-IMPOSTAZIONI!$B$3)</f>
        <v/>
      </c>
      <c r="K8" s="19">
        <f>IF($B8="","",IF(OR(H8&lt;=0,I8&lt;=0),"VIOLAZIONE",IF(OR(H8&lt;IF(ROW()=2,IMPOSTAZIONI!$B$3,B7)*0.01,I8&lt;IMPOSTAZIONI!$B$3*0.02),"ATTENZIONE","OK")))</f>
        <v/>
      </c>
    </row>
    <row r="9">
      <c r="A9" s="20" t="n"/>
      <c r="B9" s="21" t="n"/>
      <c r="C9" s="21" t="n"/>
      <c r="D9" s="16" t="n"/>
      <c r="E9" s="17">
        <f>IF($B9="","",B9-IF(ROW()=2,IMPOSTAZIONI!$B$3,B8)+IF(C9="",0,C9))</f>
        <v/>
      </c>
      <c r="F9" s="18">
        <f>IF($B9="","",E9/IF(ROW()=2,IMPOSTAZIONI!$B$3,B8))</f>
        <v/>
      </c>
      <c r="G9" s="17">
        <f>IF($B9="","",IF(ROW()=2,IMPOSTAZIONI!$B$3,B8)*IMPOSTAZIONI!$B$4)</f>
        <v/>
      </c>
      <c r="H9" s="17">
        <f>IF($B9="","",G9+MIN(0,IF(D9="",E9,MIN(E9,D9-IF(ROW()=2,IMPOSTAZIONI!$B$3,B8)))))</f>
        <v/>
      </c>
      <c r="I9" s="17">
        <f>IF($B9="","",IF(D9="",B9,MIN(B9,D9))-IMPOSTAZIONI!$B$10)</f>
        <v/>
      </c>
      <c r="J9" s="17">
        <f>IF($B9="","",B9-IMPOSTAZIONI!$B$3)</f>
        <v/>
      </c>
      <c r="K9" s="19">
        <f>IF($B9="","",IF(OR(H9&lt;=0,I9&lt;=0),"VIOLAZIONE",IF(OR(H9&lt;IF(ROW()=2,IMPOSTAZIONI!$B$3,B8)*0.01,I9&lt;IMPOSTAZIONI!$B$3*0.02),"ATTENZIONE","OK")))</f>
        <v/>
      </c>
    </row>
    <row r="10">
      <c r="A10" s="20" t="n"/>
      <c r="B10" s="21" t="n"/>
      <c r="C10" s="21" t="n"/>
      <c r="D10" s="16" t="n"/>
      <c r="E10" s="17">
        <f>IF($B10="","",B10-IF(ROW()=2,IMPOSTAZIONI!$B$3,B9)+IF(C10="",0,C10))</f>
        <v/>
      </c>
      <c r="F10" s="18">
        <f>IF($B10="","",E10/IF(ROW()=2,IMPOSTAZIONI!$B$3,B9))</f>
        <v/>
      </c>
      <c r="G10" s="17">
        <f>IF($B10="","",IF(ROW()=2,IMPOSTAZIONI!$B$3,B9)*IMPOSTAZIONI!$B$4)</f>
        <v/>
      </c>
      <c r="H10" s="17">
        <f>IF($B10="","",G10+MIN(0,IF(D10="",E10,MIN(E10,D10-IF(ROW()=2,IMPOSTAZIONI!$B$3,B9)))))</f>
        <v/>
      </c>
      <c r="I10" s="17">
        <f>IF($B10="","",IF(D10="",B10,MIN(B10,D10))-IMPOSTAZIONI!$B$10)</f>
        <v/>
      </c>
      <c r="J10" s="17">
        <f>IF($B10="","",B10-IMPOSTAZIONI!$B$3)</f>
        <v/>
      </c>
      <c r="K10" s="19">
        <f>IF($B10="","",IF(OR(H10&lt;=0,I10&lt;=0),"VIOLAZIONE",IF(OR(H10&lt;IF(ROW()=2,IMPOSTAZIONI!$B$3,B9)*0.01,I10&lt;IMPOSTAZIONI!$B$3*0.02),"ATTENZIONE","OK")))</f>
        <v/>
      </c>
    </row>
    <row r="11">
      <c r="A11" s="20" t="n"/>
      <c r="B11" s="21" t="n"/>
      <c r="C11" s="21" t="n"/>
      <c r="D11" s="16" t="n"/>
      <c r="E11" s="17">
        <f>IF($B11="","",B11-IF(ROW()=2,IMPOSTAZIONI!$B$3,B10)+IF(C11="",0,C11))</f>
        <v/>
      </c>
      <c r="F11" s="18">
        <f>IF($B11="","",E11/IF(ROW()=2,IMPOSTAZIONI!$B$3,B10))</f>
        <v/>
      </c>
      <c r="G11" s="17">
        <f>IF($B11="","",IF(ROW()=2,IMPOSTAZIONI!$B$3,B10)*IMPOSTAZIONI!$B$4)</f>
        <v/>
      </c>
      <c r="H11" s="17">
        <f>IF($B11="","",G11+MIN(0,IF(D11="",E11,MIN(E11,D11-IF(ROW()=2,IMPOSTAZIONI!$B$3,B10)))))</f>
        <v/>
      </c>
      <c r="I11" s="17">
        <f>IF($B11="","",IF(D11="",B11,MIN(B11,D11))-IMPOSTAZIONI!$B$10)</f>
        <v/>
      </c>
      <c r="J11" s="17">
        <f>IF($B11="","",B11-IMPOSTAZIONI!$B$3)</f>
        <v/>
      </c>
      <c r="K11" s="19">
        <f>IF($B11="","",IF(OR(H11&lt;=0,I11&lt;=0),"VIOLAZIONE",IF(OR(H11&lt;IF(ROW()=2,IMPOSTAZIONI!$B$3,B10)*0.01,I11&lt;IMPOSTAZIONI!$B$3*0.02),"ATTENZIONE","OK")))</f>
        <v/>
      </c>
    </row>
    <row r="12">
      <c r="A12" s="20" t="n"/>
      <c r="B12" s="21" t="n"/>
      <c r="C12" s="21" t="n"/>
      <c r="D12" s="16" t="n"/>
      <c r="E12" s="17">
        <f>IF($B12="","",B12-IF(ROW()=2,IMPOSTAZIONI!$B$3,B11)+IF(C12="",0,C12))</f>
        <v/>
      </c>
      <c r="F12" s="18">
        <f>IF($B12="","",E12/IF(ROW()=2,IMPOSTAZIONI!$B$3,B11))</f>
        <v/>
      </c>
      <c r="G12" s="17">
        <f>IF($B12="","",IF(ROW()=2,IMPOSTAZIONI!$B$3,B11)*IMPOSTAZIONI!$B$4)</f>
        <v/>
      </c>
      <c r="H12" s="17">
        <f>IF($B12="","",G12+MIN(0,IF(D12="",E12,MIN(E12,D12-IF(ROW()=2,IMPOSTAZIONI!$B$3,B11)))))</f>
        <v/>
      </c>
      <c r="I12" s="17">
        <f>IF($B12="","",IF(D12="",B12,MIN(B12,D12))-IMPOSTAZIONI!$B$10)</f>
        <v/>
      </c>
      <c r="J12" s="17">
        <f>IF($B12="","",B12-IMPOSTAZIONI!$B$3)</f>
        <v/>
      </c>
      <c r="K12" s="19">
        <f>IF($B12="","",IF(OR(H12&lt;=0,I12&lt;=0),"VIOLAZIONE",IF(OR(H12&lt;IF(ROW()=2,IMPOSTAZIONI!$B$3,B11)*0.01,I12&lt;IMPOSTAZIONI!$B$3*0.02),"ATTENZIONE","OK")))</f>
        <v/>
      </c>
    </row>
    <row r="13">
      <c r="A13" s="20" t="n"/>
      <c r="B13" s="21" t="n"/>
      <c r="C13" s="21" t="n"/>
      <c r="D13" s="16" t="n"/>
      <c r="E13" s="17">
        <f>IF($B13="","",B13-IF(ROW()=2,IMPOSTAZIONI!$B$3,B12)+IF(C13="",0,C13))</f>
        <v/>
      </c>
      <c r="F13" s="18">
        <f>IF($B13="","",E13/IF(ROW()=2,IMPOSTAZIONI!$B$3,B12))</f>
        <v/>
      </c>
      <c r="G13" s="17">
        <f>IF($B13="","",IF(ROW()=2,IMPOSTAZIONI!$B$3,B12)*IMPOSTAZIONI!$B$4)</f>
        <v/>
      </c>
      <c r="H13" s="17">
        <f>IF($B13="","",G13+MIN(0,IF(D13="",E13,MIN(E13,D13-IF(ROW()=2,IMPOSTAZIONI!$B$3,B12)))))</f>
        <v/>
      </c>
      <c r="I13" s="17">
        <f>IF($B13="","",IF(D13="",B13,MIN(B13,D13))-IMPOSTAZIONI!$B$10)</f>
        <v/>
      </c>
      <c r="J13" s="17">
        <f>IF($B13="","",B13-IMPOSTAZIONI!$B$3)</f>
        <v/>
      </c>
      <c r="K13" s="19">
        <f>IF($B13="","",IF(OR(H13&lt;=0,I13&lt;=0),"VIOLAZIONE",IF(OR(H13&lt;IF(ROW()=2,IMPOSTAZIONI!$B$3,B12)*0.01,I13&lt;IMPOSTAZIONI!$B$3*0.02),"ATTENZIONE","OK")))</f>
        <v/>
      </c>
    </row>
    <row r="14">
      <c r="A14" s="20" t="n"/>
      <c r="B14" s="21" t="n"/>
      <c r="C14" s="21" t="n"/>
      <c r="D14" s="16" t="n"/>
      <c r="E14" s="17">
        <f>IF($B14="","",B14-IF(ROW()=2,IMPOSTAZIONI!$B$3,B13)+IF(C14="",0,C14))</f>
        <v/>
      </c>
      <c r="F14" s="18">
        <f>IF($B14="","",E14/IF(ROW()=2,IMPOSTAZIONI!$B$3,B13))</f>
        <v/>
      </c>
      <c r="G14" s="17">
        <f>IF($B14="","",IF(ROW()=2,IMPOSTAZIONI!$B$3,B13)*IMPOSTAZIONI!$B$4)</f>
        <v/>
      </c>
      <c r="H14" s="17">
        <f>IF($B14="","",G14+MIN(0,IF(D14="",E14,MIN(E14,D14-IF(ROW()=2,IMPOSTAZIONI!$B$3,B13)))))</f>
        <v/>
      </c>
      <c r="I14" s="17">
        <f>IF($B14="","",IF(D14="",B14,MIN(B14,D14))-IMPOSTAZIONI!$B$10)</f>
        <v/>
      </c>
      <c r="J14" s="17">
        <f>IF($B14="","",B14-IMPOSTAZIONI!$B$3)</f>
        <v/>
      </c>
      <c r="K14" s="19">
        <f>IF($B14="","",IF(OR(H14&lt;=0,I14&lt;=0),"VIOLAZIONE",IF(OR(H14&lt;IF(ROW()=2,IMPOSTAZIONI!$B$3,B13)*0.01,I14&lt;IMPOSTAZIONI!$B$3*0.02),"ATTENZIONE","OK")))</f>
        <v/>
      </c>
    </row>
    <row r="15">
      <c r="A15" s="20" t="n"/>
      <c r="B15" s="21" t="n"/>
      <c r="C15" s="21" t="n"/>
      <c r="D15" s="16" t="n"/>
      <c r="E15" s="17">
        <f>IF($B15="","",B15-IF(ROW()=2,IMPOSTAZIONI!$B$3,B14)+IF(C15="",0,C15))</f>
        <v/>
      </c>
      <c r="F15" s="18">
        <f>IF($B15="","",E15/IF(ROW()=2,IMPOSTAZIONI!$B$3,B14))</f>
        <v/>
      </c>
      <c r="G15" s="17">
        <f>IF($B15="","",IF(ROW()=2,IMPOSTAZIONI!$B$3,B14)*IMPOSTAZIONI!$B$4)</f>
        <v/>
      </c>
      <c r="H15" s="17">
        <f>IF($B15="","",G15+MIN(0,IF(D15="",E15,MIN(E15,D15-IF(ROW()=2,IMPOSTAZIONI!$B$3,B14)))))</f>
        <v/>
      </c>
      <c r="I15" s="17">
        <f>IF($B15="","",IF(D15="",B15,MIN(B15,D15))-IMPOSTAZIONI!$B$10)</f>
        <v/>
      </c>
      <c r="J15" s="17">
        <f>IF($B15="","",B15-IMPOSTAZIONI!$B$3)</f>
        <v/>
      </c>
      <c r="K15" s="19">
        <f>IF($B15="","",IF(OR(H15&lt;=0,I15&lt;=0),"VIOLAZIONE",IF(OR(H15&lt;IF(ROW()=2,IMPOSTAZIONI!$B$3,B14)*0.01,I15&lt;IMPOSTAZIONI!$B$3*0.02),"ATTENZIONE","OK")))</f>
        <v/>
      </c>
    </row>
    <row r="16">
      <c r="A16" s="20" t="n"/>
      <c r="B16" s="21" t="n"/>
      <c r="C16" s="21" t="n"/>
      <c r="D16" s="16" t="n"/>
      <c r="E16" s="17">
        <f>IF($B16="","",B16-IF(ROW()=2,IMPOSTAZIONI!$B$3,B15)+IF(C16="",0,C16))</f>
        <v/>
      </c>
      <c r="F16" s="18">
        <f>IF($B16="","",E16/IF(ROW()=2,IMPOSTAZIONI!$B$3,B15))</f>
        <v/>
      </c>
      <c r="G16" s="17">
        <f>IF($B16="","",IF(ROW()=2,IMPOSTAZIONI!$B$3,B15)*IMPOSTAZIONI!$B$4)</f>
        <v/>
      </c>
      <c r="H16" s="17">
        <f>IF($B16="","",G16+MIN(0,IF(D16="",E16,MIN(E16,D16-IF(ROW()=2,IMPOSTAZIONI!$B$3,B15)))))</f>
        <v/>
      </c>
      <c r="I16" s="17">
        <f>IF($B16="","",IF(D16="",B16,MIN(B16,D16))-IMPOSTAZIONI!$B$10)</f>
        <v/>
      </c>
      <c r="J16" s="17">
        <f>IF($B16="","",B16-IMPOSTAZIONI!$B$3)</f>
        <v/>
      </c>
      <c r="K16" s="19">
        <f>IF($B16="","",IF(OR(H16&lt;=0,I16&lt;=0),"VIOLAZIONE",IF(OR(H16&lt;IF(ROW()=2,IMPOSTAZIONI!$B$3,B15)*0.01,I16&lt;IMPOSTAZIONI!$B$3*0.02),"ATTENZIONE","OK")))</f>
        <v/>
      </c>
    </row>
    <row r="17">
      <c r="A17" s="20" t="n"/>
      <c r="B17" s="21" t="n"/>
      <c r="C17" s="21" t="n"/>
      <c r="D17" s="16" t="n"/>
      <c r="E17" s="17">
        <f>IF($B17="","",B17-IF(ROW()=2,IMPOSTAZIONI!$B$3,B16)+IF(C17="",0,C17))</f>
        <v/>
      </c>
      <c r="F17" s="18">
        <f>IF($B17="","",E17/IF(ROW()=2,IMPOSTAZIONI!$B$3,B16))</f>
        <v/>
      </c>
      <c r="G17" s="17">
        <f>IF($B17="","",IF(ROW()=2,IMPOSTAZIONI!$B$3,B16)*IMPOSTAZIONI!$B$4)</f>
        <v/>
      </c>
      <c r="H17" s="17">
        <f>IF($B17="","",G17+MIN(0,IF(D17="",E17,MIN(E17,D17-IF(ROW()=2,IMPOSTAZIONI!$B$3,B16)))))</f>
        <v/>
      </c>
      <c r="I17" s="17">
        <f>IF($B17="","",IF(D17="",B17,MIN(B17,D17))-IMPOSTAZIONI!$B$10)</f>
        <v/>
      </c>
      <c r="J17" s="17">
        <f>IF($B17="","",B17-IMPOSTAZIONI!$B$3)</f>
        <v/>
      </c>
      <c r="K17" s="19">
        <f>IF($B17="","",IF(OR(H17&lt;=0,I17&lt;=0),"VIOLAZIONE",IF(OR(H17&lt;IF(ROW()=2,IMPOSTAZIONI!$B$3,B16)*0.01,I17&lt;IMPOSTAZIONI!$B$3*0.02),"ATTENZIONE","OK")))</f>
        <v/>
      </c>
    </row>
    <row r="18">
      <c r="A18" s="20" t="n"/>
      <c r="B18" s="21" t="n"/>
      <c r="C18" s="21" t="n"/>
      <c r="D18" s="16" t="n"/>
      <c r="E18" s="17">
        <f>IF($B18="","",B18-IF(ROW()=2,IMPOSTAZIONI!$B$3,B17)+IF(C18="",0,C18))</f>
        <v/>
      </c>
      <c r="F18" s="18">
        <f>IF($B18="","",E18/IF(ROW()=2,IMPOSTAZIONI!$B$3,B17))</f>
        <v/>
      </c>
      <c r="G18" s="17">
        <f>IF($B18="","",IF(ROW()=2,IMPOSTAZIONI!$B$3,B17)*IMPOSTAZIONI!$B$4)</f>
        <v/>
      </c>
      <c r="H18" s="17">
        <f>IF($B18="","",G18+MIN(0,IF(D18="",E18,MIN(E18,D18-IF(ROW()=2,IMPOSTAZIONI!$B$3,B17)))))</f>
        <v/>
      </c>
      <c r="I18" s="17">
        <f>IF($B18="","",IF(D18="",B18,MIN(B18,D18))-IMPOSTAZIONI!$B$10)</f>
        <v/>
      </c>
      <c r="J18" s="17">
        <f>IF($B18="","",B18-IMPOSTAZIONI!$B$3)</f>
        <v/>
      </c>
      <c r="K18" s="19">
        <f>IF($B18="","",IF(OR(H18&lt;=0,I18&lt;=0),"VIOLAZIONE",IF(OR(H18&lt;IF(ROW()=2,IMPOSTAZIONI!$B$3,B17)*0.01,I18&lt;IMPOSTAZIONI!$B$3*0.02),"ATTENZIONE","OK")))</f>
        <v/>
      </c>
    </row>
    <row r="19">
      <c r="A19" s="20" t="n"/>
      <c r="B19" s="21" t="n"/>
      <c r="C19" s="21" t="n"/>
      <c r="D19" s="16" t="n"/>
      <c r="E19" s="17">
        <f>IF($B19="","",B19-IF(ROW()=2,IMPOSTAZIONI!$B$3,B18)+IF(C19="",0,C19))</f>
        <v/>
      </c>
      <c r="F19" s="18">
        <f>IF($B19="","",E19/IF(ROW()=2,IMPOSTAZIONI!$B$3,B18))</f>
        <v/>
      </c>
      <c r="G19" s="17">
        <f>IF($B19="","",IF(ROW()=2,IMPOSTAZIONI!$B$3,B18)*IMPOSTAZIONI!$B$4)</f>
        <v/>
      </c>
      <c r="H19" s="17">
        <f>IF($B19="","",G19+MIN(0,IF(D19="",E19,MIN(E19,D19-IF(ROW()=2,IMPOSTAZIONI!$B$3,B18)))))</f>
        <v/>
      </c>
      <c r="I19" s="17">
        <f>IF($B19="","",IF(D19="",B19,MIN(B19,D19))-IMPOSTAZIONI!$B$10)</f>
        <v/>
      </c>
      <c r="J19" s="17">
        <f>IF($B19="","",B19-IMPOSTAZIONI!$B$3)</f>
        <v/>
      </c>
      <c r="K19" s="19">
        <f>IF($B19="","",IF(OR(H19&lt;=0,I19&lt;=0),"VIOLAZIONE",IF(OR(H19&lt;IF(ROW()=2,IMPOSTAZIONI!$B$3,B18)*0.01,I19&lt;IMPOSTAZIONI!$B$3*0.02),"ATTENZIONE","OK")))</f>
        <v/>
      </c>
    </row>
    <row r="20">
      <c r="A20" s="20" t="n"/>
      <c r="B20" s="21" t="n"/>
      <c r="C20" s="21" t="n"/>
      <c r="D20" s="16" t="n"/>
      <c r="E20" s="17">
        <f>IF($B20="","",B20-IF(ROW()=2,IMPOSTAZIONI!$B$3,B19)+IF(C20="",0,C20))</f>
        <v/>
      </c>
      <c r="F20" s="18">
        <f>IF($B20="","",E20/IF(ROW()=2,IMPOSTAZIONI!$B$3,B19))</f>
        <v/>
      </c>
      <c r="G20" s="17">
        <f>IF($B20="","",IF(ROW()=2,IMPOSTAZIONI!$B$3,B19)*IMPOSTAZIONI!$B$4)</f>
        <v/>
      </c>
      <c r="H20" s="17">
        <f>IF($B20="","",G20+MIN(0,IF(D20="",E20,MIN(E20,D20-IF(ROW()=2,IMPOSTAZIONI!$B$3,B19)))))</f>
        <v/>
      </c>
      <c r="I20" s="17">
        <f>IF($B20="","",IF(D20="",B20,MIN(B20,D20))-IMPOSTAZIONI!$B$10)</f>
        <v/>
      </c>
      <c r="J20" s="17">
        <f>IF($B20="","",B20-IMPOSTAZIONI!$B$3)</f>
        <v/>
      </c>
      <c r="K20" s="19">
        <f>IF($B20="","",IF(OR(H20&lt;=0,I20&lt;=0),"VIOLAZIONE",IF(OR(H20&lt;IF(ROW()=2,IMPOSTAZIONI!$B$3,B19)*0.01,I20&lt;IMPOSTAZIONI!$B$3*0.02),"ATTENZIONE","OK")))</f>
        <v/>
      </c>
    </row>
    <row r="21">
      <c r="A21" s="20" t="n"/>
      <c r="B21" s="21" t="n"/>
      <c r="C21" s="21" t="n"/>
      <c r="D21" s="16" t="n"/>
      <c r="E21" s="17">
        <f>IF($B21="","",B21-IF(ROW()=2,IMPOSTAZIONI!$B$3,B20)+IF(C21="",0,C21))</f>
        <v/>
      </c>
      <c r="F21" s="18">
        <f>IF($B21="","",E21/IF(ROW()=2,IMPOSTAZIONI!$B$3,B20))</f>
        <v/>
      </c>
      <c r="G21" s="17">
        <f>IF($B21="","",IF(ROW()=2,IMPOSTAZIONI!$B$3,B20)*IMPOSTAZIONI!$B$4)</f>
        <v/>
      </c>
      <c r="H21" s="17">
        <f>IF($B21="","",G21+MIN(0,IF(D21="",E21,MIN(E21,D21-IF(ROW()=2,IMPOSTAZIONI!$B$3,B20)))))</f>
        <v/>
      </c>
      <c r="I21" s="17">
        <f>IF($B21="","",IF(D21="",B21,MIN(B21,D21))-IMPOSTAZIONI!$B$10)</f>
        <v/>
      </c>
      <c r="J21" s="17">
        <f>IF($B21="","",B21-IMPOSTAZIONI!$B$3)</f>
        <v/>
      </c>
      <c r="K21" s="19">
        <f>IF($B21="","",IF(OR(H21&lt;=0,I21&lt;=0),"VIOLAZIONE",IF(OR(H21&lt;IF(ROW()=2,IMPOSTAZIONI!$B$3,B20)*0.01,I21&lt;IMPOSTAZIONI!$B$3*0.02),"ATTENZIONE","OK")))</f>
        <v/>
      </c>
    </row>
    <row r="22">
      <c r="A22" s="20" t="n"/>
      <c r="B22" s="21" t="n"/>
      <c r="C22" s="21" t="n"/>
      <c r="D22" s="16" t="n"/>
      <c r="E22" s="17">
        <f>IF($B22="","",B22-IF(ROW()=2,IMPOSTAZIONI!$B$3,B21)+IF(C22="",0,C22))</f>
        <v/>
      </c>
      <c r="F22" s="18">
        <f>IF($B22="","",E22/IF(ROW()=2,IMPOSTAZIONI!$B$3,B21))</f>
        <v/>
      </c>
      <c r="G22" s="17">
        <f>IF($B22="","",IF(ROW()=2,IMPOSTAZIONI!$B$3,B21)*IMPOSTAZIONI!$B$4)</f>
        <v/>
      </c>
      <c r="H22" s="17">
        <f>IF($B22="","",G22+MIN(0,IF(D22="",E22,MIN(E22,D22-IF(ROW()=2,IMPOSTAZIONI!$B$3,B21)))))</f>
        <v/>
      </c>
      <c r="I22" s="17">
        <f>IF($B22="","",IF(D22="",B22,MIN(B22,D22))-IMPOSTAZIONI!$B$10)</f>
        <v/>
      </c>
      <c r="J22" s="17">
        <f>IF($B22="","",B22-IMPOSTAZIONI!$B$3)</f>
        <v/>
      </c>
      <c r="K22" s="19">
        <f>IF($B22="","",IF(OR(H22&lt;=0,I22&lt;=0),"VIOLAZIONE",IF(OR(H22&lt;IF(ROW()=2,IMPOSTAZIONI!$B$3,B21)*0.01,I22&lt;IMPOSTAZIONI!$B$3*0.02),"ATTENZIONE","OK")))</f>
        <v/>
      </c>
    </row>
    <row r="23">
      <c r="A23" s="20" t="n"/>
      <c r="B23" s="21" t="n"/>
      <c r="C23" s="21" t="n"/>
      <c r="D23" s="16" t="n"/>
      <c r="E23" s="17">
        <f>IF($B23="","",B23-IF(ROW()=2,IMPOSTAZIONI!$B$3,B22)+IF(C23="",0,C23))</f>
        <v/>
      </c>
      <c r="F23" s="18">
        <f>IF($B23="","",E23/IF(ROW()=2,IMPOSTAZIONI!$B$3,B22))</f>
        <v/>
      </c>
      <c r="G23" s="17">
        <f>IF($B23="","",IF(ROW()=2,IMPOSTAZIONI!$B$3,B22)*IMPOSTAZIONI!$B$4)</f>
        <v/>
      </c>
      <c r="H23" s="17">
        <f>IF($B23="","",G23+MIN(0,IF(D23="",E23,MIN(E23,D23-IF(ROW()=2,IMPOSTAZIONI!$B$3,B22)))))</f>
        <v/>
      </c>
      <c r="I23" s="17">
        <f>IF($B23="","",IF(D23="",B23,MIN(B23,D23))-IMPOSTAZIONI!$B$10)</f>
        <v/>
      </c>
      <c r="J23" s="17">
        <f>IF($B23="","",B23-IMPOSTAZIONI!$B$3)</f>
        <v/>
      </c>
      <c r="K23" s="19">
        <f>IF($B23="","",IF(OR(H23&lt;=0,I23&lt;=0),"VIOLAZIONE",IF(OR(H23&lt;IF(ROW()=2,IMPOSTAZIONI!$B$3,B22)*0.01,I23&lt;IMPOSTAZIONI!$B$3*0.02),"ATTENZIONE","OK")))</f>
        <v/>
      </c>
    </row>
    <row r="24">
      <c r="A24" s="20" t="n"/>
      <c r="B24" s="21" t="n"/>
      <c r="C24" s="21" t="n"/>
      <c r="D24" s="16" t="n"/>
      <c r="E24" s="17">
        <f>IF($B24="","",B24-IF(ROW()=2,IMPOSTAZIONI!$B$3,B23)+IF(C24="",0,C24))</f>
        <v/>
      </c>
      <c r="F24" s="18">
        <f>IF($B24="","",E24/IF(ROW()=2,IMPOSTAZIONI!$B$3,B23))</f>
        <v/>
      </c>
      <c r="G24" s="17">
        <f>IF($B24="","",IF(ROW()=2,IMPOSTAZIONI!$B$3,B23)*IMPOSTAZIONI!$B$4)</f>
        <v/>
      </c>
      <c r="H24" s="17">
        <f>IF($B24="","",G24+MIN(0,IF(D24="",E24,MIN(E24,D24-IF(ROW()=2,IMPOSTAZIONI!$B$3,B23)))))</f>
        <v/>
      </c>
      <c r="I24" s="17">
        <f>IF($B24="","",IF(D24="",B24,MIN(B24,D24))-IMPOSTAZIONI!$B$10)</f>
        <v/>
      </c>
      <c r="J24" s="17">
        <f>IF($B24="","",B24-IMPOSTAZIONI!$B$3)</f>
        <v/>
      </c>
      <c r="K24" s="19">
        <f>IF($B24="","",IF(OR(H24&lt;=0,I24&lt;=0),"VIOLAZIONE",IF(OR(H24&lt;IF(ROW()=2,IMPOSTAZIONI!$B$3,B23)*0.01,I24&lt;IMPOSTAZIONI!$B$3*0.02),"ATTENZIONE","OK")))</f>
        <v/>
      </c>
    </row>
    <row r="25">
      <c r="A25" s="20" t="n"/>
      <c r="B25" s="21" t="n"/>
      <c r="C25" s="21" t="n"/>
      <c r="D25" s="16" t="n"/>
      <c r="E25" s="17">
        <f>IF($B25="","",B25-IF(ROW()=2,IMPOSTAZIONI!$B$3,B24)+IF(C25="",0,C25))</f>
        <v/>
      </c>
      <c r="F25" s="18">
        <f>IF($B25="","",E25/IF(ROW()=2,IMPOSTAZIONI!$B$3,B24))</f>
        <v/>
      </c>
      <c r="G25" s="17">
        <f>IF($B25="","",IF(ROW()=2,IMPOSTAZIONI!$B$3,B24)*IMPOSTAZIONI!$B$4)</f>
        <v/>
      </c>
      <c r="H25" s="17">
        <f>IF($B25="","",G25+MIN(0,IF(D25="",E25,MIN(E25,D25-IF(ROW()=2,IMPOSTAZIONI!$B$3,B24)))))</f>
        <v/>
      </c>
      <c r="I25" s="17">
        <f>IF($B25="","",IF(D25="",B25,MIN(B25,D25))-IMPOSTAZIONI!$B$10)</f>
        <v/>
      </c>
      <c r="J25" s="17">
        <f>IF($B25="","",B25-IMPOSTAZIONI!$B$3)</f>
        <v/>
      </c>
      <c r="K25" s="19">
        <f>IF($B25="","",IF(OR(H25&lt;=0,I25&lt;=0),"VIOLAZIONE",IF(OR(H25&lt;IF(ROW()=2,IMPOSTAZIONI!$B$3,B24)*0.01,I25&lt;IMPOSTAZIONI!$B$3*0.02),"ATTENZIONE","OK")))</f>
        <v/>
      </c>
    </row>
    <row r="26">
      <c r="A26" s="20" t="n"/>
      <c r="B26" s="21" t="n"/>
      <c r="C26" s="21" t="n"/>
      <c r="D26" s="16" t="n"/>
      <c r="E26" s="17">
        <f>IF($B26="","",B26-IF(ROW()=2,IMPOSTAZIONI!$B$3,B25)+IF(C26="",0,C26))</f>
        <v/>
      </c>
      <c r="F26" s="18">
        <f>IF($B26="","",E26/IF(ROW()=2,IMPOSTAZIONI!$B$3,B25))</f>
        <v/>
      </c>
      <c r="G26" s="17">
        <f>IF($B26="","",IF(ROW()=2,IMPOSTAZIONI!$B$3,B25)*IMPOSTAZIONI!$B$4)</f>
        <v/>
      </c>
      <c r="H26" s="17">
        <f>IF($B26="","",G26+MIN(0,IF(D26="",E26,MIN(E26,D26-IF(ROW()=2,IMPOSTAZIONI!$B$3,B25)))))</f>
        <v/>
      </c>
      <c r="I26" s="17">
        <f>IF($B26="","",IF(D26="",B26,MIN(B26,D26))-IMPOSTAZIONI!$B$10)</f>
        <v/>
      </c>
      <c r="J26" s="17">
        <f>IF($B26="","",B26-IMPOSTAZIONI!$B$3)</f>
        <v/>
      </c>
      <c r="K26" s="19">
        <f>IF($B26="","",IF(OR(H26&lt;=0,I26&lt;=0),"VIOLAZIONE",IF(OR(H26&lt;IF(ROW()=2,IMPOSTAZIONI!$B$3,B25)*0.01,I26&lt;IMPOSTAZIONI!$B$3*0.02),"ATTENZIONE","OK")))</f>
        <v/>
      </c>
    </row>
    <row r="27">
      <c r="A27" s="20" t="n"/>
      <c r="B27" s="21" t="n"/>
      <c r="C27" s="21" t="n"/>
      <c r="D27" s="16" t="n"/>
      <c r="E27" s="17">
        <f>IF($B27="","",B27-IF(ROW()=2,IMPOSTAZIONI!$B$3,B26)+IF(C27="",0,C27))</f>
        <v/>
      </c>
      <c r="F27" s="18">
        <f>IF($B27="","",E27/IF(ROW()=2,IMPOSTAZIONI!$B$3,B26))</f>
        <v/>
      </c>
      <c r="G27" s="17">
        <f>IF($B27="","",IF(ROW()=2,IMPOSTAZIONI!$B$3,B26)*IMPOSTAZIONI!$B$4)</f>
        <v/>
      </c>
      <c r="H27" s="17">
        <f>IF($B27="","",G27+MIN(0,IF(D27="",E27,MIN(E27,D27-IF(ROW()=2,IMPOSTAZIONI!$B$3,B26)))))</f>
        <v/>
      </c>
      <c r="I27" s="17">
        <f>IF($B27="","",IF(D27="",B27,MIN(B27,D27))-IMPOSTAZIONI!$B$10)</f>
        <v/>
      </c>
      <c r="J27" s="17">
        <f>IF($B27="","",B27-IMPOSTAZIONI!$B$3)</f>
        <v/>
      </c>
      <c r="K27" s="19">
        <f>IF($B27="","",IF(OR(H27&lt;=0,I27&lt;=0),"VIOLAZIONE",IF(OR(H27&lt;IF(ROW()=2,IMPOSTAZIONI!$B$3,B26)*0.01,I27&lt;IMPOSTAZIONI!$B$3*0.02),"ATTENZIONE","OK")))</f>
        <v/>
      </c>
    </row>
    <row r="28">
      <c r="A28" s="20" t="n"/>
      <c r="B28" s="21" t="n"/>
      <c r="C28" s="21" t="n"/>
      <c r="D28" s="16" t="n"/>
      <c r="E28" s="17">
        <f>IF($B28="","",B28-IF(ROW()=2,IMPOSTAZIONI!$B$3,B27)+IF(C28="",0,C28))</f>
        <v/>
      </c>
      <c r="F28" s="18">
        <f>IF($B28="","",E28/IF(ROW()=2,IMPOSTAZIONI!$B$3,B27))</f>
        <v/>
      </c>
      <c r="G28" s="17">
        <f>IF($B28="","",IF(ROW()=2,IMPOSTAZIONI!$B$3,B27)*IMPOSTAZIONI!$B$4)</f>
        <v/>
      </c>
      <c r="H28" s="17">
        <f>IF($B28="","",G28+MIN(0,IF(D28="",E28,MIN(E28,D28-IF(ROW()=2,IMPOSTAZIONI!$B$3,B27)))))</f>
        <v/>
      </c>
      <c r="I28" s="17">
        <f>IF($B28="","",IF(D28="",B28,MIN(B28,D28))-IMPOSTAZIONI!$B$10)</f>
        <v/>
      </c>
      <c r="J28" s="17">
        <f>IF($B28="","",B28-IMPOSTAZIONI!$B$3)</f>
        <v/>
      </c>
      <c r="K28" s="19">
        <f>IF($B28="","",IF(OR(H28&lt;=0,I28&lt;=0),"VIOLAZIONE",IF(OR(H28&lt;IF(ROW()=2,IMPOSTAZIONI!$B$3,B27)*0.01,I28&lt;IMPOSTAZIONI!$B$3*0.02),"ATTENZIONE","OK")))</f>
        <v/>
      </c>
    </row>
    <row r="29">
      <c r="A29" s="20" t="n"/>
      <c r="B29" s="21" t="n"/>
      <c r="C29" s="21" t="n"/>
      <c r="D29" s="16" t="n"/>
      <c r="E29" s="17">
        <f>IF($B29="","",B29-IF(ROW()=2,IMPOSTAZIONI!$B$3,B28)+IF(C29="",0,C29))</f>
        <v/>
      </c>
      <c r="F29" s="18">
        <f>IF($B29="","",E29/IF(ROW()=2,IMPOSTAZIONI!$B$3,B28))</f>
        <v/>
      </c>
      <c r="G29" s="17">
        <f>IF($B29="","",IF(ROW()=2,IMPOSTAZIONI!$B$3,B28)*IMPOSTAZIONI!$B$4)</f>
        <v/>
      </c>
      <c r="H29" s="17">
        <f>IF($B29="","",G29+MIN(0,IF(D29="",E29,MIN(E29,D29-IF(ROW()=2,IMPOSTAZIONI!$B$3,B28)))))</f>
        <v/>
      </c>
      <c r="I29" s="17">
        <f>IF($B29="","",IF(D29="",B29,MIN(B29,D29))-IMPOSTAZIONI!$B$10)</f>
        <v/>
      </c>
      <c r="J29" s="17">
        <f>IF($B29="","",B29-IMPOSTAZIONI!$B$3)</f>
        <v/>
      </c>
      <c r="K29" s="19">
        <f>IF($B29="","",IF(OR(H29&lt;=0,I29&lt;=0),"VIOLAZIONE",IF(OR(H29&lt;IF(ROW()=2,IMPOSTAZIONI!$B$3,B28)*0.01,I29&lt;IMPOSTAZIONI!$B$3*0.02),"ATTENZIONE","OK")))</f>
        <v/>
      </c>
    </row>
    <row r="30">
      <c r="A30" s="20" t="n"/>
      <c r="B30" s="21" t="n"/>
      <c r="C30" s="21" t="n"/>
      <c r="D30" s="16" t="n"/>
      <c r="E30" s="17">
        <f>IF($B30="","",B30-IF(ROW()=2,IMPOSTAZIONI!$B$3,B29)+IF(C30="",0,C30))</f>
        <v/>
      </c>
      <c r="F30" s="18">
        <f>IF($B30="","",E30/IF(ROW()=2,IMPOSTAZIONI!$B$3,B29))</f>
        <v/>
      </c>
      <c r="G30" s="17">
        <f>IF($B30="","",IF(ROW()=2,IMPOSTAZIONI!$B$3,B29)*IMPOSTAZIONI!$B$4)</f>
        <v/>
      </c>
      <c r="H30" s="17">
        <f>IF($B30="","",G30+MIN(0,IF(D30="",E30,MIN(E30,D30-IF(ROW()=2,IMPOSTAZIONI!$B$3,B29)))))</f>
        <v/>
      </c>
      <c r="I30" s="17">
        <f>IF($B30="","",IF(D30="",B30,MIN(B30,D30))-IMPOSTAZIONI!$B$10)</f>
        <v/>
      </c>
      <c r="J30" s="17">
        <f>IF($B30="","",B30-IMPOSTAZIONI!$B$3)</f>
        <v/>
      </c>
      <c r="K30" s="19">
        <f>IF($B30="","",IF(OR(H30&lt;=0,I30&lt;=0),"VIOLAZIONE",IF(OR(H30&lt;IF(ROW()=2,IMPOSTAZIONI!$B$3,B29)*0.01,I30&lt;IMPOSTAZIONI!$B$3*0.02),"ATTENZIONE","OK")))</f>
        <v/>
      </c>
    </row>
    <row r="31">
      <c r="A31" s="20" t="n"/>
      <c r="B31" s="21" t="n"/>
      <c r="C31" s="21" t="n"/>
      <c r="D31" s="16" t="n"/>
      <c r="E31" s="17">
        <f>IF($B31="","",B31-IF(ROW()=2,IMPOSTAZIONI!$B$3,B30)+IF(C31="",0,C31))</f>
        <v/>
      </c>
      <c r="F31" s="18">
        <f>IF($B31="","",E31/IF(ROW()=2,IMPOSTAZIONI!$B$3,B30))</f>
        <v/>
      </c>
      <c r="G31" s="17">
        <f>IF($B31="","",IF(ROW()=2,IMPOSTAZIONI!$B$3,B30)*IMPOSTAZIONI!$B$4)</f>
        <v/>
      </c>
      <c r="H31" s="17">
        <f>IF($B31="","",G31+MIN(0,IF(D31="",E31,MIN(E31,D31-IF(ROW()=2,IMPOSTAZIONI!$B$3,B30)))))</f>
        <v/>
      </c>
      <c r="I31" s="17">
        <f>IF($B31="","",IF(D31="",B31,MIN(B31,D31))-IMPOSTAZIONI!$B$10)</f>
        <v/>
      </c>
      <c r="J31" s="17">
        <f>IF($B31="","",B31-IMPOSTAZIONI!$B$3)</f>
        <v/>
      </c>
      <c r="K31" s="19">
        <f>IF($B31="","",IF(OR(H31&lt;=0,I31&lt;=0),"VIOLAZIONE",IF(OR(H31&lt;IF(ROW()=2,IMPOSTAZIONI!$B$3,B30)*0.01,I31&lt;IMPOSTAZIONI!$B$3*0.02),"ATTENZIONE","OK")))</f>
        <v/>
      </c>
    </row>
    <row r="32">
      <c r="A32" s="20" t="n"/>
      <c r="B32" s="21" t="n"/>
      <c r="C32" s="21" t="n"/>
      <c r="D32" s="16" t="n"/>
      <c r="E32" s="17">
        <f>IF($B32="","",B32-IF(ROW()=2,IMPOSTAZIONI!$B$3,B31)+IF(C32="",0,C32))</f>
        <v/>
      </c>
      <c r="F32" s="18">
        <f>IF($B32="","",E32/IF(ROW()=2,IMPOSTAZIONI!$B$3,B31))</f>
        <v/>
      </c>
      <c r="G32" s="17">
        <f>IF($B32="","",IF(ROW()=2,IMPOSTAZIONI!$B$3,B31)*IMPOSTAZIONI!$B$4)</f>
        <v/>
      </c>
      <c r="H32" s="17">
        <f>IF($B32="","",G32+MIN(0,IF(D32="",E32,MIN(E32,D32-IF(ROW()=2,IMPOSTAZIONI!$B$3,B31)))))</f>
        <v/>
      </c>
      <c r="I32" s="17">
        <f>IF($B32="","",IF(D32="",B32,MIN(B32,D32))-IMPOSTAZIONI!$B$10)</f>
        <v/>
      </c>
      <c r="J32" s="17">
        <f>IF($B32="","",B32-IMPOSTAZIONI!$B$3)</f>
        <v/>
      </c>
      <c r="K32" s="19">
        <f>IF($B32="","",IF(OR(H32&lt;=0,I32&lt;=0),"VIOLAZIONE",IF(OR(H32&lt;IF(ROW()=2,IMPOSTAZIONI!$B$3,B31)*0.01,I32&lt;IMPOSTAZIONI!$B$3*0.02),"ATTENZIONE","OK")))</f>
        <v/>
      </c>
    </row>
    <row r="33">
      <c r="A33" s="20" t="n"/>
      <c r="B33" s="21" t="n"/>
      <c r="C33" s="21" t="n"/>
      <c r="D33" s="16" t="n"/>
      <c r="E33" s="17">
        <f>IF($B33="","",B33-IF(ROW()=2,IMPOSTAZIONI!$B$3,B32)+IF(C33="",0,C33))</f>
        <v/>
      </c>
      <c r="F33" s="18">
        <f>IF($B33="","",E33/IF(ROW()=2,IMPOSTAZIONI!$B$3,B32))</f>
        <v/>
      </c>
      <c r="G33" s="17">
        <f>IF($B33="","",IF(ROW()=2,IMPOSTAZIONI!$B$3,B32)*IMPOSTAZIONI!$B$4)</f>
        <v/>
      </c>
      <c r="H33" s="17">
        <f>IF($B33="","",G33+MIN(0,IF(D33="",E33,MIN(E33,D33-IF(ROW()=2,IMPOSTAZIONI!$B$3,B32)))))</f>
        <v/>
      </c>
      <c r="I33" s="17">
        <f>IF($B33="","",IF(D33="",B33,MIN(B33,D33))-IMPOSTAZIONI!$B$10)</f>
        <v/>
      </c>
      <c r="J33" s="17">
        <f>IF($B33="","",B33-IMPOSTAZIONI!$B$3)</f>
        <v/>
      </c>
      <c r="K33" s="19">
        <f>IF($B33="","",IF(OR(H33&lt;=0,I33&lt;=0),"VIOLAZIONE",IF(OR(H33&lt;IF(ROW()=2,IMPOSTAZIONI!$B$3,B32)*0.01,I33&lt;IMPOSTAZIONI!$B$3*0.02),"ATTENZIONE","OK")))</f>
        <v/>
      </c>
    </row>
    <row r="34">
      <c r="A34" s="20" t="n"/>
      <c r="B34" s="21" t="n"/>
      <c r="C34" s="21" t="n"/>
      <c r="D34" s="16" t="n"/>
      <c r="E34" s="17">
        <f>IF($B34="","",B34-IF(ROW()=2,IMPOSTAZIONI!$B$3,B33)+IF(C34="",0,C34))</f>
        <v/>
      </c>
      <c r="F34" s="18">
        <f>IF($B34="","",E34/IF(ROW()=2,IMPOSTAZIONI!$B$3,B33))</f>
        <v/>
      </c>
      <c r="G34" s="17">
        <f>IF($B34="","",IF(ROW()=2,IMPOSTAZIONI!$B$3,B33)*IMPOSTAZIONI!$B$4)</f>
        <v/>
      </c>
      <c r="H34" s="17">
        <f>IF($B34="","",G34+MIN(0,IF(D34="",E34,MIN(E34,D34-IF(ROW()=2,IMPOSTAZIONI!$B$3,B33)))))</f>
        <v/>
      </c>
      <c r="I34" s="17">
        <f>IF($B34="","",IF(D34="",B34,MIN(B34,D34))-IMPOSTAZIONI!$B$10)</f>
        <v/>
      </c>
      <c r="J34" s="17">
        <f>IF($B34="","",B34-IMPOSTAZIONI!$B$3)</f>
        <v/>
      </c>
      <c r="K34" s="19">
        <f>IF($B34="","",IF(OR(H34&lt;=0,I34&lt;=0),"VIOLAZIONE",IF(OR(H34&lt;IF(ROW()=2,IMPOSTAZIONI!$B$3,B33)*0.01,I34&lt;IMPOSTAZIONI!$B$3*0.02),"ATTENZIONE","OK")))</f>
        <v/>
      </c>
    </row>
    <row r="35">
      <c r="A35" s="20" t="n"/>
      <c r="B35" s="21" t="n"/>
      <c r="C35" s="21" t="n"/>
      <c r="D35" s="16" t="n"/>
      <c r="E35" s="17">
        <f>IF($B35="","",B35-IF(ROW()=2,IMPOSTAZIONI!$B$3,B34)+IF(C35="",0,C35))</f>
        <v/>
      </c>
      <c r="F35" s="18">
        <f>IF($B35="","",E35/IF(ROW()=2,IMPOSTAZIONI!$B$3,B34))</f>
        <v/>
      </c>
      <c r="G35" s="17">
        <f>IF($B35="","",IF(ROW()=2,IMPOSTAZIONI!$B$3,B34)*IMPOSTAZIONI!$B$4)</f>
        <v/>
      </c>
      <c r="H35" s="17">
        <f>IF($B35="","",G35+MIN(0,IF(D35="",E35,MIN(E35,D35-IF(ROW()=2,IMPOSTAZIONI!$B$3,B34)))))</f>
        <v/>
      </c>
      <c r="I35" s="17">
        <f>IF($B35="","",IF(D35="",B35,MIN(B35,D35))-IMPOSTAZIONI!$B$10)</f>
        <v/>
      </c>
      <c r="J35" s="17">
        <f>IF($B35="","",B35-IMPOSTAZIONI!$B$3)</f>
        <v/>
      </c>
      <c r="K35" s="19">
        <f>IF($B35="","",IF(OR(H35&lt;=0,I35&lt;=0),"VIOLAZIONE",IF(OR(H35&lt;IF(ROW()=2,IMPOSTAZIONI!$B$3,B34)*0.01,I35&lt;IMPOSTAZIONI!$B$3*0.02),"ATTENZIONE","OK")))</f>
        <v/>
      </c>
    </row>
    <row r="36">
      <c r="A36" s="20" t="n"/>
      <c r="B36" s="21" t="n"/>
      <c r="C36" s="21" t="n"/>
      <c r="D36" s="16" t="n"/>
      <c r="E36" s="17">
        <f>IF($B36="","",B36-IF(ROW()=2,IMPOSTAZIONI!$B$3,B35)+IF(C36="",0,C36))</f>
        <v/>
      </c>
      <c r="F36" s="18">
        <f>IF($B36="","",E36/IF(ROW()=2,IMPOSTAZIONI!$B$3,B35))</f>
        <v/>
      </c>
      <c r="G36" s="17">
        <f>IF($B36="","",IF(ROW()=2,IMPOSTAZIONI!$B$3,B35)*IMPOSTAZIONI!$B$4)</f>
        <v/>
      </c>
      <c r="H36" s="17">
        <f>IF($B36="","",G36+MIN(0,IF(D36="",E36,MIN(E36,D36-IF(ROW()=2,IMPOSTAZIONI!$B$3,B35)))))</f>
        <v/>
      </c>
      <c r="I36" s="17">
        <f>IF($B36="","",IF(D36="",B36,MIN(B36,D36))-IMPOSTAZIONI!$B$10)</f>
        <v/>
      </c>
      <c r="J36" s="17">
        <f>IF($B36="","",B36-IMPOSTAZIONI!$B$3)</f>
        <v/>
      </c>
      <c r="K36" s="19">
        <f>IF($B36="","",IF(OR(H36&lt;=0,I36&lt;=0),"VIOLAZIONE",IF(OR(H36&lt;IF(ROW()=2,IMPOSTAZIONI!$B$3,B35)*0.01,I36&lt;IMPOSTAZIONI!$B$3*0.02),"ATTENZIONE","OK")))</f>
        <v/>
      </c>
    </row>
    <row r="37">
      <c r="A37" s="20" t="n"/>
      <c r="B37" s="21" t="n"/>
      <c r="C37" s="21" t="n"/>
      <c r="D37" s="16" t="n"/>
      <c r="E37" s="17">
        <f>IF($B37="","",B37-IF(ROW()=2,IMPOSTAZIONI!$B$3,B36)+IF(C37="",0,C37))</f>
        <v/>
      </c>
      <c r="F37" s="18">
        <f>IF($B37="","",E37/IF(ROW()=2,IMPOSTAZIONI!$B$3,B36))</f>
        <v/>
      </c>
      <c r="G37" s="17">
        <f>IF($B37="","",IF(ROW()=2,IMPOSTAZIONI!$B$3,B36)*IMPOSTAZIONI!$B$4)</f>
        <v/>
      </c>
      <c r="H37" s="17">
        <f>IF($B37="","",G37+MIN(0,IF(D37="",E37,MIN(E37,D37-IF(ROW()=2,IMPOSTAZIONI!$B$3,B36)))))</f>
        <v/>
      </c>
      <c r="I37" s="17">
        <f>IF($B37="","",IF(D37="",B37,MIN(B37,D37))-IMPOSTAZIONI!$B$10)</f>
        <v/>
      </c>
      <c r="J37" s="17">
        <f>IF($B37="","",B37-IMPOSTAZIONI!$B$3)</f>
        <v/>
      </c>
      <c r="K37" s="19">
        <f>IF($B37="","",IF(OR(H37&lt;=0,I37&lt;=0),"VIOLAZIONE",IF(OR(H37&lt;IF(ROW()=2,IMPOSTAZIONI!$B$3,B36)*0.01,I37&lt;IMPOSTAZIONI!$B$3*0.02),"ATTENZIONE","OK")))</f>
        <v/>
      </c>
    </row>
    <row r="38">
      <c r="A38" s="20" t="n"/>
      <c r="B38" s="21" t="n"/>
      <c r="C38" s="21" t="n"/>
      <c r="D38" s="16" t="n"/>
      <c r="E38" s="17">
        <f>IF($B38="","",B38-IF(ROW()=2,IMPOSTAZIONI!$B$3,B37)+IF(C38="",0,C38))</f>
        <v/>
      </c>
      <c r="F38" s="18">
        <f>IF($B38="","",E38/IF(ROW()=2,IMPOSTAZIONI!$B$3,B37))</f>
        <v/>
      </c>
      <c r="G38" s="17">
        <f>IF($B38="","",IF(ROW()=2,IMPOSTAZIONI!$B$3,B37)*IMPOSTAZIONI!$B$4)</f>
        <v/>
      </c>
      <c r="H38" s="17">
        <f>IF($B38="","",G38+MIN(0,IF(D38="",E38,MIN(E38,D38-IF(ROW()=2,IMPOSTAZIONI!$B$3,B37)))))</f>
        <v/>
      </c>
      <c r="I38" s="17">
        <f>IF($B38="","",IF(D38="",B38,MIN(B38,D38))-IMPOSTAZIONI!$B$10)</f>
        <v/>
      </c>
      <c r="J38" s="17">
        <f>IF($B38="","",B38-IMPOSTAZIONI!$B$3)</f>
        <v/>
      </c>
      <c r="K38" s="19">
        <f>IF($B38="","",IF(OR(H38&lt;=0,I38&lt;=0),"VIOLAZIONE",IF(OR(H38&lt;IF(ROW()=2,IMPOSTAZIONI!$B$3,B37)*0.01,I38&lt;IMPOSTAZIONI!$B$3*0.02),"ATTENZIONE","OK")))</f>
        <v/>
      </c>
    </row>
    <row r="39">
      <c r="A39" s="20" t="n"/>
      <c r="B39" s="21" t="n"/>
      <c r="C39" s="21" t="n"/>
      <c r="D39" s="16" t="n"/>
      <c r="E39" s="17">
        <f>IF($B39="","",B39-IF(ROW()=2,IMPOSTAZIONI!$B$3,B38)+IF(C39="",0,C39))</f>
        <v/>
      </c>
      <c r="F39" s="18">
        <f>IF($B39="","",E39/IF(ROW()=2,IMPOSTAZIONI!$B$3,B38))</f>
        <v/>
      </c>
      <c r="G39" s="17">
        <f>IF($B39="","",IF(ROW()=2,IMPOSTAZIONI!$B$3,B38)*IMPOSTAZIONI!$B$4)</f>
        <v/>
      </c>
      <c r="H39" s="17">
        <f>IF($B39="","",G39+MIN(0,IF(D39="",E39,MIN(E39,D39-IF(ROW()=2,IMPOSTAZIONI!$B$3,B38)))))</f>
        <v/>
      </c>
      <c r="I39" s="17">
        <f>IF($B39="","",IF(D39="",B39,MIN(B39,D39))-IMPOSTAZIONI!$B$10)</f>
        <v/>
      </c>
      <c r="J39" s="17">
        <f>IF($B39="","",B39-IMPOSTAZIONI!$B$3)</f>
        <v/>
      </c>
      <c r="K39" s="19">
        <f>IF($B39="","",IF(OR(H39&lt;=0,I39&lt;=0),"VIOLAZIONE",IF(OR(H39&lt;IF(ROW()=2,IMPOSTAZIONI!$B$3,B38)*0.01,I39&lt;IMPOSTAZIONI!$B$3*0.02),"ATTENZIONE","OK")))</f>
        <v/>
      </c>
    </row>
    <row r="40">
      <c r="A40" s="20" t="n"/>
      <c r="B40" s="21" t="n"/>
      <c r="C40" s="21" t="n"/>
      <c r="D40" s="16" t="n"/>
      <c r="E40" s="17">
        <f>IF($B40="","",B40-IF(ROW()=2,IMPOSTAZIONI!$B$3,B39)+IF(C40="",0,C40))</f>
        <v/>
      </c>
      <c r="F40" s="18">
        <f>IF($B40="","",E40/IF(ROW()=2,IMPOSTAZIONI!$B$3,B39))</f>
        <v/>
      </c>
      <c r="G40" s="17">
        <f>IF($B40="","",IF(ROW()=2,IMPOSTAZIONI!$B$3,B39)*IMPOSTAZIONI!$B$4)</f>
        <v/>
      </c>
      <c r="H40" s="17">
        <f>IF($B40="","",G40+MIN(0,IF(D40="",E40,MIN(E40,D40-IF(ROW()=2,IMPOSTAZIONI!$B$3,B39)))))</f>
        <v/>
      </c>
      <c r="I40" s="17">
        <f>IF($B40="","",IF(D40="",B40,MIN(B40,D40))-IMPOSTAZIONI!$B$10)</f>
        <v/>
      </c>
      <c r="J40" s="17">
        <f>IF($B40="","",B40-IMPOSTAZIONI!$B$3)</f>
        <v/>
      </c>
      <c r="K40" s="19">
        <f>IF($B40="","",IF(OR(H40&lt;=0,I40&lt;=0),"VIOLAZIONE",IF(OR(H40&lt;IF(ROW()=2,IMPOSTAZIONI!$B$3,B39)*0.01,I40&lt;IMPOSTAZIONI!$B$3*0.02),"ATTENZIONE","OK")))</f>
        <v/>
      </c>
    </row>
    <row r="41">
      <c r="A41" s="20" t="n"/>
      <c r="B41" s="21" t="n"/>
      <c r="C41" s="21" t="n"/>
      <c r="D41" s="16" t="n"/>
      <c r="E41" s="17">
        <f>IF($B41="","",B41-IF(ROW()=2,IMPOSTAZIONI!$B$3,B40)+IF(C41="",0,C41))</f>
        <v/>
      </c>
      <c r="F41" s="18">
        <f>IF($B41="","",E41/IF(ROW()=2,IMPOSTAZIONI!$B$3,B40))</f>
        <v/>
      </c>
      <c r="G41" s="17">
        <f>IF($B41="","",IF(ROW()=2,IMPOSTAZIONI!$B$3,B40)*IMPOSTAZIONI!$B$4)</f>
        <v/>
      </c>
      <c r="H41" s="17">
        <f>IF($B41="","",G41+MIN(0,IF(D41="",E41,MIN(E41,D41-IF(ROW()=2,IMPOSTAZIONI!$B$3,B40)))))</f>
        <v/>
      </c>
      <c r="I41" s="17">
        <f>IF($B41="","",IF(D41="",B41,MIN(B41,D41))-IMPOSTAZIONI!$B$10)</f>
        <v/>
      </c>
      <c r="J41" s="17">
        <f>IF($B41="","",B41-IMPOSTAZIONI!$B$3)</f>
        <v/>
      </c>
      <c r="K41" s="19">
        <f>IF($B41="","",IF(OR(H41&lt;=0,I41&lt;=0),"VIOLAZIONE",IF(OR(H41&lt;IF(ROW()=2,IMPOSTAZIONI!$B$3,B40)*0.01,I41&lt;IMPOSTAZIONI!$B$3*0.02),"ATTENZIONE","OK")))</f>
        <v/>
      </c>
    </row>
    <row r="42">
      <c r="A42" s="20" t="n"/>
      <c r="B42" s="21" t="n"/>
      <c r="C42" s="21" t="n"/>
      <c r="D42" s="16" t="n"/>
      <c r="E42" s="17">
        <f>IF($B42="","",B42-IF(ROW()=2,IMPOSTAZIONI!$B$3,B41)+IF(C42="",0,C42))</f>
        <v/>
      </c>
      <c r="F42" s="18">
        <f>IF($B42="","",E42/IF(ROW()=2,IMPOSTAZIONI!$B$3,B41))</f>
        <v/>
      </c>
      <c r="G42" s="17">
        <f>IF($B42="","",IF(ROW()=2,IMPOSTAZIONI!$B$3,B41)*IMPOSTAZIONI!$B$4)</f>
        <v/>
      </c>
      <c r="H42" s="17">
        <f>IF($B42="","",G42+MIN(0,IF(D42="",E42,MIN(E42,D42-IF(ROW()=2,IMPOSTAZIONI!$B$3,B41)))))</f>
        <v/>
      </c>
      <c r="I42" s="17">
        <f>IF($B42="","",IF(D42="",B42,MIN(B42,D42))-IMPOSTAZIONI!$B$10)</f>
        <v/>
      </c>
      <c r="J42" s="17">
        <f>IF($B42="","",B42-IMPOSTAZIONI!$B$3)</f>
        <v/>
      </c>
      <c r="K42" s="19">
        <f>IF($B42="","",IF(OR(H42&lt;=0,I42&lt;=0),"VIOLAZIONE",IF(OR(H42&lt;IF(ROW()=2,IMPOSTAZIONI!$B$3,B41)*0.01,I42&lt;IMPOSTAZIONI!$B$3*0.02),"ATTENZIONE","OK")))</f>
        <v/>
      </c>
    </row>
    <row r="43">
      <c r="A43" s="20" t="n"/>
      <c r="B43" s="21" t="n"/>
      <c r="C43" s="21" t="n"/>
      <c r="D43" s="16" t="n"/>
      <c r="E43" s="17">
        <f>IF($B43="","",B43-IF(ROW()=2,IMPOSTAZIONI!$B$3,B42)+IF(C43="",0,C43))</f>
        <v/>
      </c>
      <c r="F43" s="18">
        <f>IF($B43="","",E43/IF(ROW()=2,IMPOSTAZIONI!$B$3,B42))</f>
        <v/>
      </c>
      <c r="G43" s="17">
        <f>IF($B43="","",IF(ROW()=2,IMPOSTAZIONI!$B$3,B42)*IMPOSTAZIONI!$B$4)</f>
        <v/>
      </c>
      <c r="H43" s="17">
        <f>IF($B43="","",G43+MIN(0,IF(D43="",E43,MIN(E43,D43-IF(ROW()=2,IMPOSTAZIONI!$B$3,B42)))))</f>
        <v/>
      </c>
      <c r="I43" s="17">
        <f>IF($B43="","",IF(D43="",B43,MIN(B43,D43))-IMPOSTAZIONI!$B$10)</f>
        <v/>
      </c>
      <c r="J43" s="17">
        <f>IF($B43="","",B43-IMPOSTAZIONI!$B$3)</f>
        <v/>
      </c>
      <c r="K43" s="19">
        <f>IF($B43="","",IF(OR(H43&lt;=0,I43&lt;=0),"VIOLAZIONE",IF(OR(H43&lt;IF(ROW()=2,IMPOSTAZIONI!$B$3,B42)*0.01,I43&lt;IMPOSTAZIONI!$B$3*0.02),"ATTENZIONE","OK")))</f>
        <v/>
      </c>
    </row>
    <row r="44">
      <c r="A44" s="20" t="n"/>
      <c r="B44" s="21" t="n"/>
      <c r="C44" s="21" t="n"/>
      <c r="D44" s="16" t="n"/>
      <c r="E44" s="17">
        <f>IF($B44="","",B44-IF(ROW()=2,IMPOSTAZIONI!$B$3,B43)+IF(C44="",0,C44))</f>
        <v/>
      </c>
      <c r="F44" s="18">
        <f>IF($B44="","",E44/IF(ROW()=2,IMPOSTAZIONI!$B$3,B43))</f>
        <v/>
      </c>
      <c r="G44" s="17">
        <f>IF($B44="","",IF(ROW()=2,IMPOSTAZIONI!$B$3,B43)*IMPOSTAZIONI!$B$4)</f>
        <v/>
      </c>
      <c r="H44" s="17">
        <f>IF($B44="","",G44+MIN(0,IF(D44="",E44,MIN(E44,D44-IF(ROW()=2,IMPOSTAZIONI!$B$3,B43)))))</f>
        <v/>
      </c>
      <c r="I44" s="17">
        <f>IF($B44="","",IF(D44="",B44,MIN(B44,D44))-IMPOSTAZIONI!$B$10)</f>
        <v/>
      </c>
      <c r="J44" s="17">
        <f>IF($B44="","",B44-IMPOSTAZIONI!$B$3)</f>
        <v/>
      </c>
      <c r="K44" s="19">
        <f>IF($B44="","",IF(OR(H44&lt;=0,I44&lt;=0),"VIOLAZIONE",IF(OR(H44&lt;IF(ROW()=2,IMPOSTAZIONI!$B$3,B43)*0.01,I44&lt;IMPOSTAZIONI!$B$3*0.02),"ATTENZIONE","OK")))</f>
        <v/>
      </c>
    </row>
    <row r="45">
      <c r="A45" s="20" t="n"/>
      <c r="B45" s="21" t="n"/>
      <c r="C45" s="21" t="n"/>
      <c r="D45" s="16" t="n"/>
      <c r="E45" s="17">
        <f>IF($B45="","",B45-IF(ROW()=2,IMPOSTAZIONI!$B$3,B44)+IF(C45="",0,C45))</f>
        <v/>
      </c>
      <c r="F45" s="18">
        <f>IF($B45="","",E45/IF(ROW()=2,IMPOSTAZIONI!$B$3,B44))</f>
        <v/>
      </c>
      <c r="G45" s="17">
        <f>IF($B45="","",IF(ROW()=2,IMPOSTAZIONI!$B$3,B44)*IMPOSTAZIONI!$B$4)</f>
        <v/>
      </c>
      <c r="H45" s="17">
        <f>IF($B45="","",G45+MIN(0,IF(D45="",E45,MIN(E45,D45-IF(ROW()=2,IMPOSTAZIONI!$B$3,B44)))))</f>
        <v/>
      </c>
      <c r="I45" s="17">
        <f>IF($B45="","",IF(D45="",B45,MIN(B45,D45))-IMPOSTAZIONI!$B$10)</f>
        <v/>
      </c>
      <c r="J45" s="17">
        <f>IF($B45="","",B45-IMPOSTAZIONI!$B$3)</f>
        <v/>
      </c>
      <c r="K45" s="19">
        <f>IF($B45="","",IF(OR(H45&lt;=0,I45&lt;=0),"VIOLAZIONE",IF(OR(H45&lt;IF(ROW()=2,IMPOSTAZIONI!$B$3,B44)*0.01,I45&lt;IMPOSTAZIONI!$B$3*0.02),"ATTENZIONE","OK")))</f>
        <v/>
      </c>
    </row>
    <row r="46">
      <c r="A46" s="20" t="n"/>
      <c r="B46" s="21" t="n"/>
      <c r="C46" s="21" t="n"/>
      <c r="D46" s="16" t="n"/>
      <c r="E46" s="17">
        <f>IF($B46="","",B46-IF(ROW()=2,IMPOSTAZIONI!$B$3,B45)+IF(C46="",0,C46))</f>
        <v/>
      </c>
      <c r="F46" s="18">
        <f>IF($B46="","",E46/IF(ROW()=2,IMPOSTAZIONI!$B$3,B45))</f>
        <v/>
      </c>
      <c r="G46" s="17">
        <f>IF($B46="","",IF(ROW()=2,IMPOSTAZIONI!$B$3,B45)*IMPOSTAZIONI!$B$4)</f>
        <v/>
      </c>
      <c r="H46" s="17">
        <f>IF($B46="","",G46+MIN(0,IF(D46="",E46,MIN(E46,D46-IF(ROW()=2,IMPOSTAZIONI!$B$3,B45)))))</f>
        <v/>
      </c>
      <c r="I46" s="17">
        <f>IF($B46="","",IF(D46="",B46,MIN(B46,D46))-IMPOSTAZIONI!$B$10)</f>
        <v/>
      </c>
      <c r="J46" s="17">
        <f>IF($B46="","",B46-IMPOSTAZIONI!$B$3)</f>
        <v/>
      </c>
      <c r="K46" s="19">
        <f>IF($B46="","",IF(OR(H46&lt;=0,I46&lt;=0),"VIOLAZIONE",IF(OR(H46&lt;IF(ROW()=2,IMPOSTAZIONI!$B$3,B45)*0.01,I46&lt;IMPOSTAZIONI!$B$3*0.02),"ATTENZIONE","OK")))</f>
        <v/>
      </c>
    </row>
    <row r="47">
      <c r="A47" s="20" t="n"/>
      <c r="B47" s="21" t="n"/>
      <c r="C47" s="21" t="n"/>
      <c r="D47" s="16" t="n"/>
      <c r="E47" s="17">
        <f>IF($B47="","",B47-IF(ROW()=2,IMPOSTAZIONI!$B$3,B46)+IF(C47="",0,C47))</f>
        <v/>
      </c>
      <c r="F47" s="18">
        <f>IF($B47="","",E47/IF(ROW()=2,IMPOSTAZIONI!$B$3,B46))</f>
        <v/>
      </c>
      <c r="G47" s="17">
        <f>IF($B47="","",IF(ROW()=2,IMPOSTAZIONI!$B$3,B46)*IMPOSTAZIONI!$B$4)</f>
        <v/>
      </c>
      <c r="H47" s="17">
        <f>IF($B47="","",G47+MIN(0,IF(D47="",E47,MIN(E47,D47-IF(ROW()=2,IMPOSTAZIONI!$B$3,B46)))))</f>
        <v/>
      </c>
      <c r="I47" s="17">
        <f>IF($B47="","",IF(D47="",B47,MIN(B47,D47))-IMPOSTAZIONI!$B$10)</f>
        <v/>
      </c>
      <c r="J47" s="17">
        <f>IF($B47="","",B47-IMPOSTAZIONI!$B$3)</f>
        <v/>
      </c>
      <c r="K47" s="19">
        <f>IF($B47="","",IF(OR(H47&lt;=0,I47&lt;=0),"VIOLAZIONE",IF(OR(H47&lt;IF(ROW()=2,IMPOSTAZIONI!$B$3,B46)*0.01,I47&lt;IMPOSTAZIONI!$B$3*0.02),"ATTENZIONE","OK")))</f>
        <v/>
      </c>
    </row>
    <row r="48">
      <c r="A48" s="20" t="n"/>
      <c r="B48" s="21" t="n"/>
      <c r="C48" s="21" t="n"/>
      <c r="D48" s="16" t="n"/>
      <c r="E48" s="17">
        <f>IF($B48="","",B48-IF(ROW()=2,IMPOSTAZIONI!$B$3,B47)+IF(C48="",0,C48))</f>
        <v/>
      </c>
      <c r="F48" s="18">
        <f>IF($B48="","",E48/IF(ROW()=2,IMPOSTAZIONI!$B$3,B47))</f>
        <v/>
      </c>
      <c r="G48" s="17">
        <f>IF($B48="","",IF(ROW()=2,IMPOSTAZIONI!$B$3,B47)*IMPOSTAZIONI!$B$4)</f>
        <v/>
      </c>
      <c r="H48" s="17">
        <f>IF($B48="","",G48+MIN(0,IF(D48="",E48,MIN(E48,D48-IF(ROW()=2,IMPOSTAZIONI!$B$3,B47)))))</f>
        <v/>
      </c>
      <c r="I48" s="17">
        <f>IF($B48="","",IF(D48="",B48,MIN(B48,D48))-IMPOSTAZIONI!$B$10)</f>
        <v/>
      </c>
      <c r="J48" s="17">
        <f>IF($B48="","",B48-IMPOSTAZIONI!$B$3)</f>
        <v/>
      </c>
      <c r="K48" s="19">
        <f>IF($B48="","",IF(OR(H48&lt;=0,I48&lt;=0),"VIOLAZIONE",IF(OR(H48&lt;IF(ROW()=2,IMPOSTAZIONI!$B$3,B47)*0.01,I48&lt;IMPOSTAZIONI!$B$3*0.02),"ATTENZIONE","OK")))</f>
        <v/>
      </c>
    </row>
    <row r="49">
      <c r="A49" s="20" t="n"/>
      <c r="B49" s="21" t="n"/>
      <c r="C49" s="21" t="n"/>
      <c r="D49" s="16" t="n"/>
      <c r="E49" s="17">
        <f>IF($B49="","",B49-IF(ROW()=2,IMPOSTAZIONI!$B$3,B48)+IF(C49="",0,C49))</f>
        <v/>
      </c>
      <c r="F49" s="18">
        <f>IF($B49="","",E49/IF(ROW()=2,IMPOSTAZIONI!$B$3,B48))</f>
        <v/>
      </c>
      <c r="G49" s="17">
        <f>IF($B49="","",IF(ROW()=2,IMPOSTAZIONI!$B$3,B48)*IMPOSTAZIONI!$B$4)</f>
        <v/>
      </c>
      <c r="H49" s="17">
        <f>IF($B49="","",G49+MIN(0,IF(D49="",E49,MIN(E49,D49-IF(ROW()=2,IMPOSTAZIONI!$B$3,B48)))))</f>
        <v/>
      </c>
      <c r="I49" s="17">
        <f>IF($B49="","",IF(D49="",B49,MIN(B49,D49))-IMPOSTAZIONI!$B$10)</f>
        <v/>
      </c>
      <c r="J49" s="17">
        <f>IF($B49="","",B49-IMPOSTAZIONI!$B$3)</f>
        <v/>
      </c>
      <c r="K49" s="19">
        <f>IF($B49="","",IF(OR(H49&lt;=0,I49&lt;=0),"VIOLAZIONE",IF(OR(H49&lt;IF(ROW()=2,IMPOSTAZIONI!$B$3,B48)*0.01,I49&lt;IMPOSTAZIONI!$B$3*0.02),"ATTENZIONE","OK")))</f>
        <v/>
      </c>
    </row>
    <row r="50">
      <c r="A50" s="20" t="n"/>
      <c r="B50" s="21" t="n"/>
      <c r="C50" s="21" t="n"/>
      <c r="D50" s="16" t="n"/>
      <c r="E50" s="17">
        <f>IF($B50="","",B50-IF(ROW()=2,IMPOSTAZIONI!$B$3,B49)+IF(C50="",0,C50))</f>
        <v/>
      </c>
      <c r="F50" s="18">
        <f>IF($B50="","",E50/IF(ROW()=2,IMPOSTAZIONI!$B$3,B49))</f>
        <v/>
      </c>
      <c r="G50" s="17">
        <f>IF($B50="","",IF(ROW()=2,IMPOSTAZIONI!$B$3,B49)*IMPOSTAZIONI!$B$4)</f>
        <v/>
      </c>
      <c r="H50" s="17">
        <f>IF($B50="","",G50+MIN(0,IF(D50="",E50,MIN(E50,D50-IF(ROW()=2,IMPOSTAZIONI!$B$3,B49)))))</f>
        <v/>
      </c>
      <c r="I50" s="17">
        <f>IF($B50="","",IF(D50="",B50,MIN(B50,D50))-IMPOSTAZIONI!$B$10)</f>
        <v/>
      </c>
      <c r="J50" s="17">
        <f>IF($B50="","",B50-IMPOSTAZIONI!$B$3)</f>
        <v/>
      </c>
      <c r="K50" s="19">
        <f>IF($B50="","",IF(OR(H50&lt;=0,I50&lt;=0),"VIOLAZIONE",IF(OR(H50&lt;IF(ROW()=2,IMPOSTAZIONI!$B$3,B49)*0.01,I50&lt;IMPOSTAZIONI!$B$3*0.02),"ATTENZIONE","OK")))</f>
        <v/>
      </c>
    </row>
    <row r="51">
      <c r="A51" s="20" t="n"/>
      <c r="B51" s="21" t="n"/>
      <c r="C51" s="21" t="n"/>
      <c r="D51" s="16" t="n"/>
      <c r="E51" s="17">
        <f>IF($B51="","",B51-IF(ROW()=2,IMPOSTAZIONI!$B$3,B50)+IF(C51="",0,C51))</f>
        <v/>
      </c>
      <c r="F51" s="18">
        <f>IF($B51="","",E51/IF(ROW()=2,IMPOSTAZIONI!$B$3,B50))</f>
        <v/>
      </c>
      <c r="G51" s="17">
        <f>IF($B51="","",IF(ROW()=2,IMPOSTAZIONI!$B$3,B50)*IMPOSTAZIONI!$B$4)</f>
        <v/>
      </c>
      <c r="H51" s="17">
        <f>IF($B51="","",G51+MIN(0,IF(D51="",E51,MIN(E51,D51-IF(ROW()=2,IMPOSTAZIONI!$B$3,B50)))))</f>
        <v/>
      </c>
      <c r="I51" s="17">
        <f>IF($B51="","",IF(D51="",B51,MIN(B51,D51))-IMPOSTAZIONI!$B$10)</f>
        <v/>
      </c>
      <c r="J51" s="17">
        <f>IF($B51="","",B51-IMPOSTAZIONI!$B$3)</f>
        <v/>
      </c>
      <c r="K51" s="19">
        <f>IF($B51="","",IF(OR(H51&lt;=0,I51&lt;=0),"VIOLAZIONE",IF(OR(H51&lt;IF(ROW()=2,IMPOSTAZIONI!$B$3,B50)*0.01,I51&lt;IMPOSTAZIONI!$B$3*0.02),"ATTENZIONE","OK")))</f>
        <v/>
      </c>
    </row>
    <row r="52">
      <c r="A52" s="20" t="n"/>
      <c r="B52" s="21" t="n"/>
      <c r="C52" s="21" t="n"/>
      <c r="D52" s="16" t="n"/>
      <c r="E52" s="17">
        <f>IF($B52="","",B52-IF(ROW()=2,IMPOSTAZIONI!$B$3,B51)+IF(C52="",0,C52))</f>
        <v/>
      </c>
      <c r="F52" s="18">
        <f>IF($B52="","",E52/IF(ROW()=2,IMPOSTAZIONI!$B$3,B51))</f>
        <v/>
      </c>
      <c r="G52" s="17">
        <f>IF($B52="","",IF(ROW()=2,IMPOSTAZIONI!$B$3,B51)*IMPOSTAZIONI!$B$4)</f>
        <v/>
      </c>
      <c r="H52" s="17">
        <f>IF($B52="","",G52+MIN(0,IF(D52="",E52,MIN(E52,D52-IF(ROW()=2,IMPOSTAZIONI!$B$3,B51)))))</f>
        <v/>
      </c>
      <c r="I52" s="17">
        <f>IF($B52="","",IF(D52="",B52,MIN(B52,D52))-IMPOSTAZIONI!$B$10)</f>
        <v/>
      </c>
      <c r="J52" s="17">
        <f>IF($B52="","",B52-IMPOSTAZIONI!$B$3)</f>
        <v/>
      </c>
      <c r="K52" s="19">
        <f>IF($B52="","",IF(OR(H52&lt;=0,I52&lt;=0),"VIOLAZIONE",IF(OR(H52&lt;IF(ROW()=2,IMPOSTAZIONI!$B$3,B51)*0.01,I52&lt;IMPOSTAZIONI!$B$3*0.02),"ATTENZIONE","OK")))</f>
        <v/>
      </c>
    </row>
    <row r="53">
      <c r="A53" s="20" t="n"/>
      <c r="B53" s="21" t="n"/>
      <c r="C53" s="21" t="n"/>
      <c r="D53" s="16" t="n"/>
      <c r="E53" s="17">
        <f>IF($B53="","",B53-IF(ROW()=2,IMPOSTAZIONI!$B$3,B52)+IF(C53="",0,C53))</f>
        <v/>
      </c>
      <c r="F53" s="18">
        <f>IF($B53="","",E53/IF(ROW()=2,IMPOSTAZIONI!$B$3,B52))</f>
        <v/>
      </c>
      <c r="G53" s="17">
        <f>IF($B53="","",IF(ROW()=2,IMPOSTAZIONI!$B$3,B52)*IMPOSTAZIONI!$B$4)</f>
        <v/>
      </c>
      <c r="H53" s="17">
        <f>IF($B53="","",G53+MIN(0,IF(D53="",E53,MIN(E53,D53-IF(ROW()=2,IMPOSTAZIONI!$B$3,B52)))))</f>
        <v/>
      </c>
      <c r="I53" s="17">
        <f>IF($B53="","",IF(D53="",B53,MIN(B53,D53))-IMPOSTAZIONI!$B$10)</f>
        <v/>
      </c>
      <c r="J53" s="17">
        <f>IF($B53="","",B53-IMPOSTAZIONI!$B$3)</f>
        <v/>
      </c>
      <c r="K53" s="19">
        <f>IF($B53="","",IF(OR(H53&lt;=0,I53&lt;=0),"VIOLAZIONE",IF(OR(H53&lt;IF(ROW()=2,IMPOSTAZIONI!$B$3,B52)*0.01,I53&lt;IMPOSTAZIONI!$B$3*0.02),"ATTENZIONE","OK")))</f>
        <v/>
      </c>
    </row>
    <row r="54">
      <c r="A54" s="20" t="n"/>
      <c r="B54" s="21" t="n"/>
      <c r="C54" s="21" t="n"/>
      <c r="D54" s="16" t="n"/>
      <c r="E54" s="17">
        <f>IF($B54="","",B54-IF(ROW()=2,IMPOSTAZIONI!$B$3,B53)+IF(C54="",0,C54))</f>
        <v/>
      </c>
      <c r="F54" s="18">
        <f>IF($B54="","",E54/IF(ROW()=2,IMPOSTAZIONI!$B$3,B53))</f>
        <v/>
      </c>
      <c r="G54" s="17">
        <f>IF($B54="","",IF(ROW()=2,IMPOSTAZIONI!$B$3,B53)*IMPOSTAZIONI!$B$4)</f>
        <v/>
      </c>
      <c r="H54" s="17">
        <f>IF($B54="","",G54+MIN(0,IF(D54="",E54,MIN(E54,D54-IF(ROW()=2,IMPOSTAZIONI!$B$3,B53)))))</f>
        <v/>
      </c>
      <c r="I54" s="17">
        <f>IF($B54="","",IF(D54="",B54,MIN(B54,D54))-IMPOSTAZIONI!$B$10)</f>
        <v/>
      </c>
      <c r="J54" s="17">
        <f>IF($B54="","",B54-IMPOSTAZIONI!$B$3)</f>
        <v/>
      </c>
      <c r="K54" s="19">
        <f>IF($B54="","",IF(OR(H54&lt;=0,I54&lt;=0),"VIOLAZIONE",IF(OR(H54&lt;IF(ROW()=2,IMPOSTAZIONI!$B$3,B53)*0.01,I54&lt;IMPOSTAZIONI!$B$3*0.02),"ATTENZIONE","OK")))</f>
        <v/>
      </c>
    </row>
    <row r="55">
      <c r="A55" s="20" t="n"/>
      <c r="B55" s="21" t="n"/>
      <c r="C55" s="21" t="n"/>
      <c r="D55" s="16" t="n"/>
      <c r="E55" s="17">
        <f>IF($B55="","",B55-IF(ROW()=2,IMPOSTAZIONI!$B$3,B54)+IF(C55="",0,C55))</f>
        <v/>
      </c>
      <c r="F55" s="18">
        <f>IF($B55="","",E55/IF(ROW()=2,IMPOSTAZIONI!$B$3,B54))</f>
        <v/>
      </c>
      <c r="G55" s="17">
        <f>IF($B55="","",IF(ROW()=2,IMPOSTAZIONI!$B$3,B54)*IMPOSTAZIONI!$B$4)</f>
        <v/>
      </c>
      <c r="H55" s="17">
        <f>IF($B55="","",G55+MIN(0,IF(D55="",E55,MIN(E55,D55-IF(ROW()=2,IMPOSTAZIONI!$B$3,B54)))))</f>
        <v/>
      </c>
      <c r="I55" s="17">
        <f>IF($B55="","",IF(D55="",B55,MIN(B55,D55))-IMPOSTAZIONI!$B$10)</f>
        <v/>
      </c>
      <c r="J55" s="17">
        <f>IF($B55="","",B55-IMPOSTAZIONI!$B$3)</f>
        <v/>
      </c>
      <c r="K55" s="19">
        <f>IF($B55="","",IF(OR(H55&lt;=0,I55&lt;=0),"VIOLAZIONE",IF(OR(H55&lt;IF(ROW()=2,IMPOSTAZIONI!$B$3,B54)*0.01,I55&lt;IMPOSTAZIONI!$B$3*0.02),"ATTENZIONE","OK")))</f>
        <v/>
      </c>
    </row>
    <row r="56">
      <c r="A56" s="20" t="n"/>
      <c r="B56" s="21" t="n"/>
      <c r="C56" s="21" t="n"/>
      <c r="D56" s="16" t="n"/>
      <c r="E56" s="17">
        <f>IF($B56="","",B56-IF(ROW()=2,IMPOSTAZIONI!$B$3,B55)+IF(C56="",0,C56))</f>
        <v/>
      </c>
      <c r="F56" s="18">
        <f>IF($B56="","",E56/IF(ROW()=2,IMPOSTAZIONI!$B$3,B55))</f>
        <v/>
      </c>
      <c r="G56" s="17">
        <f>IF($B56="","",IF(ROW()=2,IMPOSTAZIONI!$B$3,B55)*IMPOSTAZIONI!$B$4)</f>
        <v/>
      </c>
      <c r="H56" s="17">
        <f>IF($B56="","",G56+MIN(0,IF(D56="",E56,MIN(E56,D56-IF(ROW()=2,IMPOSTAZIONI!$B$3,B55)))))</f>
        <v/>
      </c>
      <c r="I56" s="17">
        <f>IF($B56="","",IF(D56="",B56,MIN(B56,D56))-IMPOSTAZIONI!$B$10)</f>
        <v/>
      </c>
      <c r="J56" s="17">
        <f>IF($B56="","",B56-IMPOSTAZIONI!$B$3)</f>
        <v/>
      </c>
      <c r="K56" s="19">
        <f>IF($B56="","",IF(OR(H56&lt;=0,I56&lt;=0),"VIOLAZIONE",IF(OR(H56&lt;IF(ROW()=2,IMPOSTAZIONI!$B$3,B55)*0.01,I56&lt;IMPOSTAZIONI!$B$3*0.02),"ATTENZIONE","OK")))</f>
        <v/>
      </c>
    </row>
    <row r="57">
      <c r="A57" s="20" t="n"/>
      <c r="B57" s="21" t="n"/>
      <c r="C57" s="21" t="n"/>
      <c r="D57" s="16" t="n"/>
      <c r="E57" s="17">
        <f>IF($B57="","",B57-IF(ROW()=2,IMPOSTAZIONI!$B$3,B56)+IF(C57="",0,C57))</f>
        <v/>
      </c>
      <c r="F57" s="18">
        <f>IF($B57="","",E57/IF(ROW()=2,IMPOSTAZIONI!$B$3,B56))</f>
        <v/>
      </c>
      <c r="G57" s="17">
        <f>IF($B57="","",IF(ROW()=2,IMPOSTAZIONI!$B$3,B56)*IMPOSTAZIONI!$B$4)</f>
        <v/>
      </c>
      <c r="H57" s="17">
        <f>IF($B57="","",G57+MIN(0,IF(D57="",E57,MIN(E57,D57-IF(ROW()=2,IMPOSTAZIONI!$B$3,B56)))))</f>
        <v/>
      </c>
      <c r="I57" s="17">
        <f>IF($B57="","",IF(D57="",B57,MIN(B57,D57))-IMPOSTAZIONI!$B$10)</f>
        <v/>
      </c>
      <c r="J57" s="17">
        <f>IF($B57="","",B57-IMPOSTAZIONI!$B$3)</f>
        <v/>
      </c>
      <c r="K57" s="19">
        <f>IF($B57="","",IF(OR(H57&lt;=0,I57&lt;=0),"VIOLAZIONE",IF(OR(H57&lt;IF(ROW()=2,IMPOSTAZIONI!$B$3,B56)*0.01,I57&lt;IMPOSTAZIONI!$B$3*0.02),"ATTENZIONE","OK")))</f>
        <v/>
      </c>
    </row>
    <row r="58">
      <c r="A58" s="20" t="n"/>
      <c r="B58" s="21" t="n"/>
      <c r="C58" s="21" t="n"/>
      <c r="D58" s="16" t="n"/>
      <c r="E58" s="17">
        <f>IF($B58="","",B58-IF(ROW()=2,IMPOSTAZIONI!$B$3,B57)+IF(C58="",0,C58))</f>
        <v/>
      </c>
      <c r="F58" s="18">
        <f>IF($B58="","",E58/IF(ROW()=2,IMPOSTAZIONI!$B$3,B57))</f>
        <v/>
      </c>
      <c r="G58" s="17">
        <f>IF($B58="","",IF(ROW()=2,IMPOSTAZIONI!$B$3,B57)*IMPOSTAZIONI!$B$4)</f>
        <v/>
      </c>
      <c r="H58" s="17">
        <f>IF($B58="","",G58+MIN(0,IF(D58="",E58,MIN(E58,D58-IF(ROW()=2,IMPOSTAZIONI!$B$3,B57)))))</f>
        <v/>
      </c>
      <c r="I58" s="17">
        <f>IF($B58="","",IF(D58="",B58,MIN(B58,D58))-IMPOSTAZIONI!$B$10)</f>
        <v/>
      </c>
      <c r="J58" s="17">
        <f>IF($B58="","",B58-IMPOSTAZIONI!$B$3)</f>
        <v/>
      </c>
      <c r="K58" s="19">
        <f>IF($B58="","",IF(OR(H58&lt;=0,I58&lt;=0),"VIOLAZIONE",IF(OR(H58&lt;IF(ROW()=2,IMPOSTAZIONI!$B$3,B57)*0.01,I58&lt;IMPOSTAZIONI!$B$3*0.02),"ATTENZIONE","OK")))</f>
        <v/>
      </c>
    </row>
    <row r="59">
      <c r="A59" s="20" t="n"/>
      <c r="B59" s="21" t="n"/>
      <c r="C59" s="21" t="n"/>
      <c r="D59" s="16" t="n"/>
      <c r="E59" s="17">
        <f>IF($B59="","",B59-IF(ROW()=2,IMPOSTAZIONI!$B$3,B58)+IF(C59="",0,C59))</f>
        <v/>
      </c>
      <c r="F59" s="18">
        <f>IF($B59="","",E59/IF(ROW()=2,IMPOSTAZIONI!$B$3,B58))</f>
        <v/>
      </c>
      <c r="G59" s="17">
        <f>IF($B59="","",IF(ROW()=2,IMPOSTAZIONI!$B$3,B58)*IMPOSTAZIONI!$B$4)</f>
        <v/>
      </c>
      <c r="H59" s="17">
        <f>IF($B59="","",G59+MIN(0,IF(D59="",E59,MIN(E59,D59-IF(ROW()=2,IMPOSTAZIONI!$B$3,B58)))))</f>
        <v/>
      </c>
      <c r="I59" s="17">
        <f>IF($B59="","",IF(D59="",B59,MIN(B59,D59))-IMPOSTAZIONI!$B$10)</f>
        <v/>
      </c>
      <c r="J59" s="17">
        <f>IF($B59="","",B59-IMPOSTAZIONI!$B$3)</f>
        <v/>
      </c>
      <c r="K59" s="19">
        <f>IF($B59="","",IF(OR(H59&lt;=0,I59&lt;=0),"VIOLAZIONE",IF(OR(H59&lt;IF(ROW()=2,IMPOSTAZIONI!$B$3,B58)*0.01,I59&lt;IMPOSTAZIONI!$B$3*0.02),"ATTENZIONE","OK")))</f>
        <v/>
      </c>
    </row>
    <row r="60">
      <c r="A60" s="20" t="n"/>
      <c r="B60" s="21" t="n"/>
      <c r="C60" s="21" t="n"/>
      <c r="D60" s="16" t="n"/>
      <c r="E60" s="17">
        <f>IF($B60="","",B60-IF(ROW()=2,IMPOSTAZIONI!$B$3,B59)+IF(C60="",0,C60))</f>
        <v/>
      </c>
      <c r="F60" s="18">
        <f>IF($B60="","",E60/IF(ROW()=2,IMPOSTAZIONI!$B$3,B59))</f>
        <v/>
      </c>
      <c r="G60" s="17">
        <f>IF($B60="","",IF(ROW()=2,IMPOSTAZIONI!$B$3,B59)*IMPOSTAZIONI!$B$4)</f>
        <v/>
      </c>
      <c r="H60" s="17">
        <f>IF($B60="","",G60+MIN(0,IF(D60="",E60,MIN(E60,D60-IF(ROW()=2,IMPOSTAZIONI!$B$3,B59)))))</f>
        <v/>
      </c>
      <c r="I60" s="17">
        <f>IF($B60="","",IF(D60="",B60,MIN(B60,D60))-IMPOSTAZIONI!$B$10)</f>
        <v/>
      </c>
      <c r="J60" s="17">
        <f>IF($B60="","",B60-IMPOSTAZIONI!$B$3)</f>
        <v/>
      </c>
      <c r="K60" s="19">
        <f>IF($B60="","",IF(OR(H60&lt;=0,I60&lt;=0),"VIOLAZIONE",IF(OR(H60&lt;IF(ROW()=2,IMPOSTAZIONI!$B$3,B59)*0.01,I60&lt;IMPOSTAZIONI!$B$3*0.02),"ATTENZIONE","OK")))</f>
        <v/>
      </c>
    </row>
    <row r="61">
      <c r="A61" s="20" t="n"/>
      <c r="B61" s="21" t="n"/>
      <c r="C61" s="21" t="n"/>
      <c r="D61" s="16" t="n"/>
      <c r="E61" s="17">
        <f>IF($B61="","",B61-IF(ROW()=2,IMPOSTAZIONI!$B$3,B60)+IF(C61="",0,C61))</f>
        <v/>
      </c>
      <c r="F61" s="18">
        <f>IF($B61="","",E61/IF(ROW()=2,IMPOSTAZIONI!$B$3,B60))</f>
        <v/>
      </c>
      <c r="G61" s="17">
        <f>IF($B61="","",IF(ROW()=2,IMPOSTAZIONI!$B$3,B60)*IMPOSTAZIONI!$B$4)</f>
        <v/>
      </c>
      <c r="H61" s="17">
        <f>IF($B61="","",G61+MIN(0,IF(D61="",E61,MIN(E61,D61-IF(ROW()=2,IMPOSTAZIONI!$B$3,B60)))))</f>
        <v/>
      </c>
      <c r="I61" s="17">
        <f>IF($B61="","",IF(D61="",B61,MIN(B61,D61))-IMPOSTAZIONI!$B$10)</f>
        <v/>
      </c>
      <c r="J61" s="17">
        <f>IF($B61="","",B61-IMPOSTAZIONI!$B$3)</f>
        <v/>
      </c>
      <c r="K61" s="19">
        <f>IF($B61="","",IF(OR(H61&lt;=0,I61&lt;=0),"VIOLAZIONE",IF(OR(H61&lt;IF(ROW()=2,IMPOSTAZIONI!$B$3,B60)*0.01,I61&lt;IMPOSTAZIONI!$B$3*0.02),"ATTENZIONE","OK")))</f>
        <v/>
      </c>
    </row>
    <row r="62">
      <c r="A62" s="20" t="n"/>
      <c r="B62" s="21" t="n"/>
      <c r="C62" s="21" t="n"/>
      <c r="D62" s="16" t="n"/>
      <c r="E62" s="17">
        <f>IF($B62="","",B62-IF(ROW()=2,IMPOSTAZIONI!$B$3,B61)+IF(C62="",0,C62))</f>
        <v/>
      </c>
      <c r="F62" s="18">
        <f>IF($B62="","",E62/IF(ROW()=2,IMPOSTAZIONI!$B$3,B61))</f>
        <v/>
      </c>
      <c r="G62" s="17">
        <f>IF($B62="","",IF(ROW()=2,IMPOSTAZIONI!$B$3,B61)*IMPOSTAZIONI!$B$4)</f>
        <v/>
      </c>
      <c r="H62" s="17">
        <f>IF($B62="","",G62+MIN(0,IF(D62="",E62,MIN(E62,D62-IF(ROW()=2,IMPOSTAZIONI!$B$3,B61)))))</f>
        <v/>
      </c>
      <c r="I62" s="17">
        <f>IF($B62="","",IF(D62="",B62,MIN(B62,D62))-IMPOSTAZIONI!$B$10)</f>
        <v/>
      </c>
      <c r="J62" s="17">
        <f>IF($B62="","",B62-IMPOSTAZIONI!$B$3)</f>
        <v/>
      </c>
      <c r="K62" s="19">
        <f>IF($B62="","",IF(OR(H62&lt;=0,I62&lt;=0),"VIOLAZIONE",IF(OR(H62&lt;IF(ROW()=2,IMPOSTAZIONI!$B$3,B61)*0.01,I62&lt;IMPOSTAZIONI!$B$3*0.02),"ATTENZIONE","OK")))</f>
        <v/>
      </c>
    </row>
    <row r="63">
      <c r="A63" s="20" t="n"/>
      <c r="B63" s="21" t="n"/>
      <c r="C63" s="21" t="n"/>
      <c r="D63" s="16" t="n"/>
      <c r="E63" s="17">
        <f>IF($B63="","",B63-IF(ROW()=2,IMPOSTAZIONI!$B$3,B62)+IF(C63="",0,C63))</f>
        <v/>
      </c>
      <c r="F63" s="18">
        <f>IF($B63="","",E63/IF(ROW()=2,IMPOSTAZIONI!$B$3,B62))</f>
        <v/>
      </c>
      <c r="G63" s="17">
        <f>IF($B63="","",IF(ROW()=2,IMPOSTAZIONI!$B$3,B62)*IMPOSTAZIONI!$B$4)</f>
        <v/>
      </c>
      <c r="H63" s="17">
        <f>IF($B63="","",G63+MIN(0,IF(D63="",E63,MIN(E63,D63-IF(ROW()=2,IMPOSTAZIONI!$B$3,B62)))))</f>
        <v/>
      </c>
      <c r="I63" s="17">
        <f>IF($B63="","",IF(D63="",B63,MIN(B63,D63))-IMPOSTAZIONI!$B$10)</f>
        <v/>
      </c>
      <c r="J63" s="17">
        <f>IF($B63="","",B63-IMPOSTAZIONI!$B$3)</f>
        <v/>
      </c>
      <c r="K63" s="19">
        <f>IF($B63="","",IF(OR(H63&lt;=0,I63&lt;=0),"VIOLAZIONE",IF(OR(H63&lt;IF(ROW()=2,IMPOSTAZIONI!$B$3,B62)*0.01,I63&lt;IMPOSTAZIONI!$B$3*0.02),"ATTENZIONE","OK")))</f>
        <v/>
      </c>
    </row>
    <row r="64">
      <c r="A64" s="20" t="n"/>
      <c r="B64" s="21" t="n"/>
      <c r="C64" s="21" t="n"/>
      <c r="D64" s="16" t="n"/>
      <c r="E64" s="17">
        <f>IF($B64="","",B64-IF(ROW()=2,IMPOSTAZIONI!$B$3,B63)+IF(C64="",0,C64))</f>
        <v/>
      </c>
      <c r="F64" s="18">
        <f>IF($B64="","",E64/IF(ROW()=2,IMPOSTAZIONI!$B$3,B63))</f>
        <v/>
      </c>
      <c r="G64" s="17">
        <f>IF($B64="","",IF(ROW()=2,IMPOSTAZIONI!$B$3,B63)*IMPOSTAZIONI!$B$4)</f>
        <v/>
      </c>
      <c r="H64" s="17">
        <f>IF($B64="","",G64+MIN(0,IF(D64="",E64,MIN(E64,D64-IF(ROW()=2,IMPOSTAZIONI!$B$3,B63)))))</f>
        <v/>
      </c>
      <c r="I64" s="17">
        <f>IF($B64="","",IF(D64="",B64,MIN(B64,D64))-IMPOSTAZIONI!$B$10)</f>
        <v/>
      </c>
      <c r="J64" s="17">
        <f>IF($B64="","",B64-IMPOSTAZIONI!$B$3)</f>
        <v/>
      </c>
      <c r="K64" s="19">
        <f>IF($B64="","",IF(OR(H64&lt;=0,I64&lt;=0),"VIOLAZIONE",IF(OR(H64&lt;IF(ROW()=2,IMPOSTAZIONI!$B$3,B63)*0.01,I64&lt;IMPOSTAZIONI!$B$3*0.02),"ATTENZIONE","OK")))</f>
        <v/>
      </c>
    </row>
    <row r="65">
      <c r="A65" s="20" t="n"/>
      <c r="B65" s="21" t="n"/>
      <c r="C65" s="21" t="n"/>
      <c r="D65" s="16" t="n"/>
      <c r="E65" s="17">
        <f>IF($B65="","",B65-IF(ROW()=2,IMPOSTAZIONI!$B$3,B64)+IF(C65="",0,C65))</f>
        <v/>
      </c>
      <c r="F65" s="18">
        <f>IF($B65="","",E65/IF(ROW()=2,IMPOSTAZIONI!$B$3,B64))</f>
        <v/>
      </c>
      <c r="G65" s="17">
        <f>IF($B65="","",IF(ROW()=2,IMPOSTAZIONI!$B$3,B64)*IMPOSTAZIONI!$B$4)</f>
        <v/>
      </c>
      <c r="H65" s="17">
        <f>IF($B65="","",G65+MIN(0,IF(D65="",E65,MIN(E65,D65-IF(ROW()=2,IMPOSTAZIONI!$B$3,B64)))))</f>
        <v/>
      </c>
      <c r="I65" s="17">
        <f>IF($B65="","",IF(D65="",B65,MIN(B65,D65))-IMPOSTAZIONI!$B$10)</f>
        <v/>
      </c>
      <c r="J65" s="17">
        <f>IF($B65="","",B65-IMPOSTAZIONI!$B$3)</f>
        <v/>
      </c>
      <c r="K65" s="19">
        <f>IF($B65="","",IF(OR(H65&lt;=0,I65&lt;=0),"VIOLAZIONE",IF(OR(H65&lt;IF(ROW()=2,IMPOSTAZIONI!$B$3,B64)*0.01,I65&lt;IMPOSTAZIONI!$B$3*0.02),"ATTENZIONE","OK")))</f>
        <v/>
      </c>
    </row>
    <row r="66">
      <c r="A66" s="20" t="n"/>
      <c r="B66" s="21" t="n"/>
      <c r="C66" s="21" t="n"/>
      <c r="D66" s="16" t="n"/>
      <c r="E66" s="17">
        <f>IF($B66="","",B66-IF(ROW()=2,IMPOSTAZIONI!$B$3,B65)+IF(C66="",0,C66))</f>
        <v/>
      </c>
      <c r="F66" s="18">
        <f>IF($B66="","",E66/IF(ROW()=2,IMPOSTAZIONI!$B$3,B65))</f>
        <v/>
      </c>
      <c r="G66" s="17">
        <f>IF($B66="","",IF(ROW()=2,IMPOSTAZIONI!$B$3,B65)*IMPOSTAZIONI!$B$4)</f>
        <v/>
      </c>
      <c r="H66" s="17">
        <f>IF($B66="","",G66+MIN(0,IF(D66="",E66,MIN(E66,D66-IF(ROW()=2,IMPOSTAZIONI!$B$3,B65)))))</f>
        <v/>
      </c>
      <c r="I66" s="17">
        <f>IF($B66="","",IF(D66="",B66,MIN(B66,D66))-IMPOSTAZIONI!$B$10)</f>
        <v/>
      </c>
      <c r="J66" s="17">
        <f>IF($B66="","",B66-IMPOSTAZIONI!$B$3)</f>
        <v/>
      </c>
      <c r="K66" s="19">
        <f>IF($B66="","",IF(OR(H66&lt;=0,I66&lt;=0),"VIOLAZIONE",IF(OR(H66&lt;IF(ROW()=2,IMPOSTAZIONI!$B$3,B65)*0.01,I66&lt;IMPOSTAZIONI!$B$3*0.02),"ATTENZIONE","OK")))</f>
        <v/>
      </c>
    </row>
    <row r="67">
      <c r="A67" s="20" t="n"/>
      <c r="B67" s="21" t="n"/>
      <c r="C67" s="21" t="n"/>
      <c r="D67" s="16" t="n"/>
      <c r="E67" s="17">
        <f>IF($B67="","",B67-IF(ROW()=2,IMPOSTAZIONI!$B$3,B66)+IF(C67="",0,C67))</f>
        <v/>
      </c>
      <c r="F67" s="18">
        <f>IF($B67="","",E67/IF(ROW()=2,IMPOSTAZIONI!$B$3,B66))</f>
        <v/>
      </c>
      <c r="G67" s="17">
        <f>IF($B67="","",IF(ROW()=2,IMPOSTAZIONI!$B$3,B66)*IMPOSTAZIONI!$B$4)</f>
        <v/>
      </c>
      <c r="H67" s="17">
        <f>IF($B67="","",G67+MIN(0,IF(D67="",E67,MIN(E67,D67-IF(ROW()=2,IMPOSTAZIONI!$B$3,B66)))))</f>
        <v/>
      </c>
      <c r="I67" s="17">
        <f>IF($B67="","",IF(D67="",B67,MIN(B67,D67))-IMPOSTAZIONI!$B$10)</f>
        <v/>
      </c>
      <c r="J67" s="17">
        <f>IF($B67="","",B67-IMPOSTAZIONI!$B$3)</f>
        <v/>
      </c>
      <c r="K67" s="19">
        <f>IF($B67="","",IF(OR(H67&lt;=0,I67&lt;=0),"VIOLAZIONE",IF(OR(H67&lt;IF(ROW()=2,IMPOSTAZIONI!$B$3,B66)*0.01,I67&lt;IMPOSTAZIONI!$B$3*0.02),"ATTENZIONE","OK")))</f>
        <v/>
      </c>
    </row>
    <row r="68">
      <c r="A68" s="20" t="n"/>
      <c r="B68" s="21" t="n"/>
      <c r="C68" s="21" t="n"/>
      <c r="D68" s="16" t="n"/>
      <c r="E68" s="17">
        <f>IF($B68="","",B68-IF(ROW()=2,IMPOSTAZIONI!$B$3,B67)+IF(C68="",0,C68))</f>
        <v/>
      </c>
      <c r="F68" s="18">
        <f>IF($B68="","",E68/IF(ROW()=2,IMPOSTAZIONI!$B$3,B67))</f>
        <v/>
      </c>
      <c r="G68" s="17">
        <f>IF($B68="","",IF(ROW()=2,IMPOSTAZIONI!$B$3,B67)*IMPOSTAZIONI!$B$4)</f>
        <v/>
      </c>
      <c r="H68" s="17">
        <f>IF($B68="","",G68+MIN(0,IF(D68="",E68,MIN(E68,D68-IF(ROW()=2,IMPOSTAZIONI!$B$3,B67)))))</f>
        <v/>
      </c>
      <c r="I68" s="17">
        <f>IF($B68="","",IF(D68="",B68,MIN(B68,D68))-IMPOSTAZIONI!$B$10)</f>
        <v/>
      </c>
      <c r="J68" s="17">
        <f>IF($B68="","",B68-IMPOSTAZIONI!$B$3)</f>
        <v/>
      </c>
      <c r="K68" s="19">
        <f>IF($B68="","",IF(OR(H68&lt;=0,I68&lt;=0),"VIOLAZIONE",IF(OR(H68&lt;IF(ROW()=2,IMPOSTAZIONI!$B$3,B67)*0.01,I68&lt;IMPOSTAZIONI!$B$3*0.02),"ATTENZIONE","OK")))</f>
        <v/>
      </c>
    </row>
    <row r="69">
      <c r="A69" s="20" t="n"/>
      <c r="B69" s="21" t="n"/>
      <c r="C69" s="21" t="n"/>
      <c r="D69" s="16" t="n"/>
      <c r="E69" s="17">
        <f>IF($B69="","",B69-IF(ROW()=2,IMPOSTAZIONI!$B$3,B68)+IF(C69="",0,C69))</f>
        <v/>
      </c>
      <c r="F69" s="18">
        <f>IF($B69="","",E69/IF(ROW()=2,IMPOSTAZIONI!$B$3,B68))</f>
        <v/>
      </c>
      <c r="G69" s="17">
        <f>IF($B69="","",IF(ROW()=2,IMPOSTAZIONI!$B$3,B68)*IMPOSTAZIONI!$B$4)</f>
        <v/>
      </c>
      <c r="H69" s="17">
        <f>IF($B69="","",G69+MIN(0,IF(D69="",E69,MIN(E69,D69-IF(ROW()=2,IMPOSTAZIONI!$B$3,B68)))))</f>
        <v/>
      </c>
      <c r="I69" s="17">
        <f>IF($B69="","",IF(D69="",B69,MIN(B69,D69))-IMPOSTAZIONI!$B$10)</f>
        <v/>
      </c>
      <c r="J69" s="17">
        <f>IF($B69="","",B69-IMPOSTAZIONI!$B$3)</f>
        <v/>
      </c>
      <c r="K69" s="19">
        <f>IF($B69="","",IF(OR(H69&lt;=0,I69&lt;=0),"VIOLAZIONE",IF(OR(H69&lt;IF(ROW()=2,IMPOSTAZIONI!$B$3,B68)*0.01,I69&lt;IMPOSTAZIONI!$B$3*0.02),"ATTENZIONE","OK")))</f>
        <v/>
      </c>
    </row>
    <row r="70">
      <c r="A70" s="20" t="n"/>
      <c r="B70" s="21" t="n"/>
      <c r="C70" s="21" t="n"/>
      <c r="D70" s="16" t="n"/>
      <c r="E70" s="17">
        <f>IF($B70="","",B70-IF(ROW()=2,IMPOSTAZIONI!$B$3,B69)+IF(C70="",0,C70))</f>
        <v/>
      </c>
      <c r="F70" s="18">
        <f>IF($B70="","",E70/IF(ROW()=2,IMPOSTAZIONI!$B$3,B69))</f>
        <v/>
      </c>
      <c r="G70" s="17">
        <f>IF($B70="","",IF(ROW()=2,IMPOSTAZIONI!$B$3,B69)*IMPOSTAZIONI!$B$4)</f>
        <v/>
      </c>
      <c r="H70" s="17">
        <f>IF($B70="","",G70+MIN(0,IF(D70="",E70,MIN(E70,D70-IF(ROW()=2,IMPOSTAZIONI!$B$3,B69)))))</f>
        <v/>
      </c>
      <c r="I70" s="17">
        <f>IF($B70="","",IF(D70="",B70,MIN(B70,D70))-IMPOSTAZIONI!$B$10)</f>
        <v/>
      </c>
      <c r="J70" s="17">
        <f>IF($B70="","",B70-IMPOSTAZIONI!$B$3)</f>
        <v/>
      </c>
      <c r="K70" s="19">
        <f>IF($B70="","",IF(OR(H70&lt;=0,I70&lt;=0),"VIOLAZIONE",IF(OR(H70&lt;IF(ROW()=2,IMPOSTAZIONI!$B$3,B69)*0.01,I70&lt;IMPOSTAZIONI!$B$3*0.02),"ATTENZIONE","OK")))</f>
        <v/>
      </c>
    </row>
    <row r="71">
      <c r="A71" s="20" t="n"/>
      <c r="B71" s="21" t="n"/>
      <c r="C71" s="21" t="n"/>
      <c r="D71" s="16" t="n"/>
      <c r="E71" s="17">
        <f>IF($B71="","",B71-IF(ROW()=2,IMPOSTAZIONI!$B$3,B70)+IF(C71="",0,C71))</f>
        <v/>
      </c>
      <c r="F71" s="18">
        <f>IF($B71="","",E71/IF(ROW()=2,IMPOSTAZIONI!$B$3,B70))</f>
        <v/>
      </c>
      <c r="G71" s="17">
        <f>IF($B71="","",IF(ROW()=2,IMPOSTAZIONI!$B$3,B70)*IMPOSTAZIONI!$B$4)</f>
        <v/>
      </c>
      <c r="H71" s="17">
        <f>IF($B71="","",G71+MIN(0,IF(D71="",E71,MIN(E71,D71-IF(ROW()=2,IMPOSTAZIONI!$B$3,B70)))))</f>
        <v/>
      </c>
      <c r="I71" s="17">
        <f>IF($B71="","",IF(D71="",B71,MIN(B71,D71))-IMPOSTAZIONI!$B$10)</f>
        <v/>
      </c>
      <c r="J71" s="17">
        <f>IF($B71="","",B71-IMPOSTAZIONI!$B$3)</f>
        <v/>
      </c>
      <c r="K71" s="19">
        <f>IF($B71="","",IF(OR(H71&lt;=0,I71&lt;=0),"VIOLAZIONE",IF(OR(H71&lt;IF(ROW()=2,IMPOSTAZIONI!$B$3,B70)*0.01,I71&lt;IMPOSTAZIONI!$B$3*0.02),"ATTENZIONE","OK")))</f>
        <v/>
      </c>
    </row>
    <row r="72">
      <c r="A72" s="20" t="n"/>
      <c r="B72" s="21" t="n"/>
      <c r="C72" s="21" t="n"/>
      <c r="D72" s="16" t="n"/>
      <c r="E72" s="17">
        <f>IF($B72="","",B72-IF(ROW()=2,IMPOSTAZIONI!$B$3,B71)+IF(C72="",0,C72))</f>
        <v/>
      </c>
      <c r="F72" s="18">
        <f>IF($B72="","",E72/IF(ROW()=2,IMPOSTAZIONI!$B$3,B71))</f>
        <v/>
      </c>
      <c r="G72" s="17">
        <f>IF($B72="","",IF(ROW()=2,IMPOSTAZIONI!$B$3,B71)*IMPOSTAZIONI!$B$4)</f>
        <v/>
      </c>
      <c r="H72" s="17">
        <f>IF($B72="","",G72+MIN(0,IF(D72="",E72,MIN(E72,D72-IF(ROW()=2,IMPOSTAZIONI!$B$3,B71)))))</f>
        <v/>
      </c>
      <c r="I72" s="17">
        <f>IF($B72="","",IF(D72="",B72,MIN(B72,D72))-IMPOSTAZIONI!$B$10)</f>
        <v/>
      </c>
      <c r="J72" s="17">
        <f>IF($B72="","",B72-IMPOSTAZIONI!$B$3)</f>
        <v/>
      </c>
      <c r="K72" s="19">
        <f>IF($B72="","",IF(OR(H72&lt;=0,I72&lt;=0),"VIOLAZIONE",IF(OR(H72&lt;IF(ROW()=2,IMPOSTAZIONI!$B$3,B71)*0.01,I72&lt;IMPOSTAZIONI!$B$3*0.02),"ATTENZIONE","OK")))</f>
        <v/>
      </c>
    </row>
    <row r="73">
      <c r="A73" s="20" t="n"/>
      <c r="B73" s="21" t="n"/>
      <c r="C73" s="21" t="n"/>
      <c r="D73" s="16" t="n"/>
      <c r="E73" s="17">
        <f>IF($B73="","",B73-IF(ROW()=2,IMPOSTAZIONI!$B$3,B72)+IF(C73="",0,C73))</f>
        <v/>
      </c>
      <c r="F73" s="18">
        <f>IF($B73="","",E73/IF(ROW()=2,IMPOSTAZIONI!$B$3,B72))</f>
        <v/>
      </c>
      <c r="G73" s="17">
        <f>IF($B73="","",IF(ROW()=2,IMPOSTAZIONI!$B$3,B72)*IMPOSTAZIONI!$B$4)</f>
        <v/>
      </c>
      <c r="H73" s="17">
        <f>IF($B73="","",G73+MIN(0,IF(D73="",E73,MIN(E73,D73-IF(ROW()=2,IMPOSTAZIONI!$B$3,B72)))))</f>
        <v/>
      </c>
      <c r="I73" s="17">
        <f>IF($B73="","",IF(D73="",B73,MIN(B73,D73))-IMPOSTAZIONI!$B$10)</f>
        <v/>
      </c>
      <c r="J73" s="17">
        <f>IF($B73="","",B73-IMPOSTAZIONI!$B$3)</f>
        <v/>
      </c>
      <c r="K73" s="19">
        <f>IF($B73="","",IF(OR(H73&lt;=0,I73&lt;=0),"VIOLAZIONE",IF(OR(H73&lt;IF(ROW()=2,IMPOSTAZIONI!$B$3,B72)*0.01,I73&lt;IMPOSTAZIONI!$B$3*0.02),"ATTENZIONE","OK")))</f>
        <v/>
      </c>
    </row>
    <row r="74">
      <c r="A74" s="20" t="n"/>
      <c r="B74" s="21" t="n"/>
      <c r="C74" s="21" t="n"/>
      <c r="D74" s="16" t="n"/>
      <c r="E74" s="17">
        <f>IF($B74="","",B74-IF(ROW()=2,IMPOSTAZIONI!$B$3,B73)+IF(C74="",0,C74))</f>
        <v/>
      </c>
      <c r="F74" s="18">
        <f>IF($B74="","",E74/IF(ROW()=2,IMPOSTAZIONI!$B$3,B73))</f>
        <v/>
      </c>
      <c r="G74" s="17">
        <f>IF($B74="","",IF(ROW()=2,IMPOSTAZIONI!$B$3,B73)*IMPOSTAZIONI!$B$4)</f>
        <v/>
      </c>
      <c r="H74" s="17">
        <f>IF($B74="","",G74+MIN(0,IF(D74="",E74,MIN(E74,D74-IF(ROW()=2,IMPOSTAZIONI!$B$3,B73)))))</f>
        <v/>
      </c>
      <c r="I74" s="17">
        <f>IF($B74="","",IF(D74="",B74,MIN(B74,D74))-IMPOSTAZIONI!$B$10)</f>
        <v/>
      </c>
      <c r="J74" s="17">
        <f>IF($B74="","",B74-IMPOSTAZIONI!$B$3)</f>
        <v/>
      </c>
      <c r="K74" s="19">
        <f>IF($B74="","",IF(OR(H74&lt;=0,I74&lt;=0),"VIOLAZIONE",IF(OR(H74&lt;IF(ROW()=2,IMPOSTAZIONI!$B$3,B73)*0.01,I74&lt;IMPOSTAZIONI!$B$3*0.02),"ATTENZIONE","OK")))</f>
        <v/>
      </c>
    </row>
    <row r="75">
      <c r="A75" s="20" t="n"/>
      <c r="B75" s="21" t="n"/>
      <c r="C75" s="21" t="n"/>
      <c r="D75" s="16" t="n"/>
      <c r="E75" s="17">
        <f>IF($B75="","",B75-IF(ROW()=2,IMPOSTAZIONI!$B$3,B74)+IF(C75="",0,C75))</f>
        <v/>
      </c>
      <c r="F75" s="18">
        <f>IF($B75="","",E75/IF(ROW()=2,IMPOSTAZIONI!$B$3,B74))</f>
        <v/>
      </c>
      <c r="G75" s="17">
        <f>IF($B75="","",IF(ROW()=2,IMPOSTAZIONI!$B$3,B74)*IMPOSTAZIONI!$B$4)</f>
        <v/>
      </c>
      <c r="H75" s="17">
        <f>IF($B75="","",G75+MIN(0,IF(D75="",E75,MIN(E75,D75-IF(ROW()=2,IMPOSTAZIONI!$B$3,B74)))))</f>
        <v/>
      </c>
      <c r="I75" s="17">
        <f>IF($B75="","",IF(D75="",B75,MIN(B75,D75))-IMPOSTAZIONI!$B$10)</f>
        <v/>
      </c>
      <c r="J75" s="17">
        <f>IF($B75="","",B75-IMPOSTAZIONI!$B$3)</f>
        <v/>
      </c>
      <c r="K75" s="19">
        <f>IF($B75="","",IF(OR(H75&lt;=0,I75&lt;=0),"VIOLAZIONE",IF(OR(H75&lt;IF(ROW()=2,IMPOSTAZIONI!$B$3,B74)*0.01,I75&lt;IMPOSTAZIONI!$B$3*0.02),"ATTENZIONE","OK")))</f>
        <v/>
      </c>
    </row>
    <row r="76">
      <c r="A76" s="20" t="n"/>
      <c r="B76" s="21" t="n"/>
      <c r="C76" s="21" t="n"/>
      <c r="D76" s="16" t="n"/>
      <c r="E76" s="17">
        <f>IF($B76="","",B76-IF(ROW()=2,IMPOSTAZIONI!$B$3,B75)+IF(C76="",0,C76))</f>
        <v/>
      </c>
      <c r="F76" s="18">
        <f>IF($B76="","",E76/IF(ROW()=2,IMPOSTAZIONI!$B$3,B75))</f>
        <v/>
      </c>
      <c r="G76" s="17">
        <f>IF($B76="","",IF(ROW()=2,IMPOSTAZIONI!$B$3,B75)*IMPOSTAZIONI!$B$4)</f>
        <v/>
      </c>
      <c r="H76" s="17">
        <f>IF($B76="","",G76+MIN(0,IF(D76="",E76,MIN(E76,D76-IF(ROW()=2,IMPOSTAZIONI!$B$3,B75)))))</f>
        <v/>
      </c>
      <c r="I76" s="17">
        <f>IF($B76="","",IF(D76="",B76,MIN(B76,D76))-IMPOSTAZIONI!$B$10)</f>
        <v/>
      </c>
      <c r="J76" s="17">
        <f>IF($B76="","",B76-IMPOSTAZIONI!$B$3)</f>
        <v/>
      </c>
      <c r="K76" s="19">
        <f>IF($B76="","",IF(OR(H76&lt;=0,I76&lt;=0),"VIOLAZIONE",IF(OR(H76&lt;IF(ROW()=2,IMPOSTAZIONI!$B$3,B75)*0.01,I76&lt;IMPOSTAZIONI!$B$3*0.02),"ATTENZIONE","OK")))</f>
        <v/>
      </c>
    </row>
    <row r="77">
      <c r="A77" s="20" t="n"/>
      <c r="B77" s="21" t="n"/>
      <c r="C77" s="21" t="n"/>
      <c r="D77" s="16" t="n"/>
      <c r="E77" s="17">
        <f>IF($B77="","",B77-IF(ROW()=2,IMPOSTAZIONI!$B$3,B76)+IF(C77="",0,C77))</f>
        <v/>
      </c>
      <c r="F77" s="18">
        <f>IF($B77="","",E77/IF(ROW()=2,IMPOSTAZIONI!$B$3,B76))</f>
        <v/>
      </c>
      <c r="G77" s="17">
        <f>IF($B77="","",IF(ROW()=2,IMPOSTAZIONI!$B$3,B76)*IMPOSTAZIONI!$B$4)</f>
        <v/>
      </c>
      <c r="H77" s="17">
        <f>IF($B77="","",G77+MIN(0,IF(D77="",E77,MIN(E77,D77-IF(ROW()=2,IMPOSTAZIONI!$B$3,B76)))))</f>
        <v/>
      </c>
      <c r="I77" s="17">
        <f>IF($B77="","",IF(D77="",B77,MIN(B77,D77))-IMPOSTAZIONI!$B$10)</f>
        <v/>
      </c>
      <c r="J77" s="17">
        <f>IF($B77="","",B77-IMPOSTAZIONI!$B$3)</f>
        <v/>
      </c>
      <c r="K77" s="19">
        <f>IF($B77="","",IF(OR(H77&lt;=0,I77&lt;=0),"VIOLAZIONE",IF(OR(H77&lt;IF(ROW()=2,IMPOSTAZIONI!$B$3,B76)*0.01,I77&lt;IMPOSTAZIONI!$B$3*0.02),"ATTENZIONE","OK")))</f>
        <v/>
      </c>
    </row>
    <row r="78">
      <c r="A78" s="20" t="n"/>
      <c r="B78" s="21" t="n"/>
      <c r="C78" s="21" t="n"/>
      <c r="D78" s="16" t="n"/>
      <c r="E78" s="17">
        <f>IF($B78="","",B78-IF(ROW()=2,IMPOSTAZIONI!$B$3,B77)+IF(C78="",0,C78))</f>
        <v/>
      </c>
      <c r="F78" s="18">
        <f>IF($B78="","",E78/IF(ROW()=2,IMPOSTAZIONI!$B$3,B77))</f>
        <v/>
      </c>
      <c r="G78" s="17">
        <f>IF($B78="","",IF(ROW()=2,IMPOSTAZIONI!$B$3,B77)*IMPOSTAZIONI!$B$4)</f>
        <v/>
      </c>
      <c r="H78" s="17">
        <f>IF($B78="","",G78+MIN(0,IF(D78="",E78,MIN(E78,D78-IF(ROW()=2,IMPOSTAZIONI!$B$3,B77)))))</f>
        <v/>
      </c>
      <c r="I78" s="17">
        <f>IF($B78="","",IF(D78="",B78,MIN(B78,D78))-IMPOSTAZIONI!$B$10)</f>
        <v/>
      </c>
      <c r="J78" s="17">
        <f>IF($B78="","",B78-IMPOSTAZIONI!$B$3)</f>
        <v/>
      </c>
      <c r="K78" s="19">
        <f>IF($B78="","",IF(OR(H78&lt;=0,I78&lt;=0),"VIOLAZIONE",IF(OR(H78&lt;IF(ROW()=2,IMPOSTAZIONI!$B$3,B77)*0.01,I78&lt;IMPOSTAZIONI!$B$3*0.02),"ATTENZIONE","OK")))</f>
        <v/>
      </c>
    </row>
    <row r="79">
      <c r="A79" s="20" t="n"/>
      <c r="B79" s="21" t="n"/>
      <c r="C79" s="21" t="n"/>
      <c r="D79" s="16" t="n"/>
      <c r="E79" s="17">
        <f>IF($B79="","",B79-IF(ROW()=2,IMPOSTAZIONI!$B$3,B78)+IF(C79="",0,C79))</f>
        <v/>
      </c>
      <c r="F79" s="18">
        <f>IF($B79="","",E79/IF(ROW()=2,IMPOSTAZIONI!$B$3,B78))</f>
        <v/>
      </c>
      <c r="G79" s="17">
        <f>IF($B79="","",IF(ROW()=2,IMPOSTAZIONI!$B$3,B78)*IMPOSTAZIONI!$B$4)</f>
        <v/>
      </c>
      <c r="H79" s="17">
        <f>IF($B79="","",G79+MIN(0,IF(D79="",E79,MIN(E79,D79-IF(ROW()=2,IMPOSTAZIONI!$B$3,B78)))))</f>
        <v/>
      </c>
      <c r="I79" s="17">
        <f>IF($B79="","",IF(D79="",B79,MIN(B79,D79))-IMPOSTAZIONI!$B$10)</f>
        <v/>
      </c>
      <c r="J79" s="17">
        <f>IF($B79="","",B79-IMPOSTAZIONI!$B$3)</f>
        <v/>
      </c>
      <c r="K79" s="19">
        <f>IF($B79="","",IF(OR(H79&lt;=0,I79&lt;=0),"VIOLAZIONE",IF(OR(H79&lt;IF(ROW()=2,IMPOSTAZIONI!$B$3,B78)*0.01,I79&lt;IMPOSTAZIONI!$B$3*0.02),"ATTENZIONE","OK")))</f>
        <v/>
      </c>
    </row>
    <row r="80">
      <c r="A80" s="20" t="n"/>
      <c r="B80" s="21" t="n"/>
      <c r="C80" s="21" t="n"/>
      <c r="D80" s="16" t="n"/>
      <c r="E80" s="17">
        <f>IF($B80="","",B80-IF(ROW()=2,IMPOSTAZIONI!$B$3,B79)+IF(C80="",0,C80))</f>
        <v/>
      </c>
      <c r="F80" s="18">
        <f>IF($B80="","",E80/IF(ROW()=2,IMPOSTAZIONI!$B$3,B79))</f>
        <v/>
      </c>
      <c r="G80" s="17">
        <f>IF($B80="","",IF(ROW()=2,IMPOSTAZIONI!$B$3,B79)*IMPOSTAZIONI!$B$4)</f>
        <v/>
      </c>
      <c r="H80" s="17">
        <f>IF($B80="","",G80+MIN(0,IF(D80="",E80,MIN(E80,D80-IF(ROW()=2,IMPOSTAZIONI!$B$3,B79)))))</f>
        <v/>
      </c>
      <c r="I80" s="17">
        <f>IF($B80="","",IF(D80="",B80,MIN(B80,D80))-IMPOSTAZIONI!$B$10)</f>
        <v/>
      </c>
      <c r="J80" s="17">
        <f>IF($B80="","",B80-IMPOSTAZIONI!$B$3)</f>
        <v/>
      </c>
      <c r="K80" s="19">
        <f>IF($B80="","",IF(OR(H80&lt;=0,I80&lt;=0),"VIOLAZIONE",IF(OR(H80&lt;IF(ROW()=2,IMPOSTAZIONI!$B$3,B79)*0.01,I80&lt;IMPOSTAZIONI!$B$3*0.02),"ATTENZIONE","OK")))</f>
        <v/>
      </c>
    </row>
    <row r="81">
      <c r="A81" s="20" t="n"/>
      <c r="B81" s="21" t="n"/>
      <c r="C81" s="21" t="n"/>
      <c r="D81" s="16" t="n"/>
      <c r="E81" s="17">
        <f>IF($B81="","",B81-IF(ROW()=2,IMPOSTAZIONI!$B$3,B80)+IF(C81="",0,C81))</f>
        <v/>
      </c>
      <c r="F81" s="18">
        <f>IF($B81="","",E81/IF(ROW()=2,IMPOSTAZIONI!$B$3,B80))</f>
        <v/>
      </c>
      <c r="G81" s="17">
        <f>IF($B81="","",IF(ROW()=2,IMPOSTAZIONI!$B$3,B80)*IMPOSTAZIONI!$B$4)</f>
        <v/>
      </c>
      <c r="H81" s="17">
        <f>IF($B81="","",G81+MIN(0,IF(D81="",E81,MIN(E81,D81-IF(ROW()=2,IMPOSTAZIONI!$B$3,B80)))))</f>
        <v/>
      </c>
      <c r="I81" s="17">
        <f>IF($B81="","",IF(D81="",B81,MIN(B81,D81))-IMPOSTAZIONI!$B$10)</f>
        <v/>
      </c>
      <c r="J81" s="17">
        <f>IF($B81="","",B81-IMPOSTAZIONI!$B$3)</f>
        <v/>
      </c>
      <c r="K81" s="19">
        <f>IF($B81="","",IF(OR(H81&lt;=0,I81&lt;=0),"VIOLAZIONE",IF(OR(H81&lt;IF(ROW()=2,IMPOSTAZIONI!$B$3,B80)*0.01,I81&lt;IMPOSTAZIONI!$B$3*0.02),"ATTENZIONE","OK")))</f>
        <v/>
      </c>
    </row>
    <row r="82">
      <c r="A82" s="20" t="n"/>
      <c r="B82" s="21" t="n"/>
      <c r="C82" s="21" t="n"/>
      <c r="D82" s="16" t="n"/>
      <c r="E82" s="17">
        <f>IF($B82="","",B82-IF(ROW()=2,IMPOSTAZIONI!$B$3,B81)+IF(C82="",0,C82))</f>
        <v/>
      </c>
      <c r="F82" s="18">
        <f>IF($B82="","",E82/IF(ROW()=2,IMPOSTAZIONI!$B$3,B81))</f>
        <v/>
      </c>
      <c r="G82" s="17">
        <f>IF($B82="","",IF(ROW()=2,IMPOSTAZIONI!$B$3,B81)*IMPOSTAZIONI!$B$4)</f>
        <v/>
      </c>
      <c r="H82" s="17">
        <f>IF($B82="","",G82+MIN(0,IF(D82="",E82,MIN(E82,D82-IF(ROW()=2,IMPOSTAZIONI!$B$3,B81)))))</f>
        <v/>
      </c>
      <c r="I82" s="17">
        <f>IF($B82="","",IF(D82="",B82,MIN(B82,D82))-IMPOSTAZIONI!$B$10)</f>
        <v/>
      </c>
      <c r="J82" s="17">
        <f>IF($B82="","",B82-IMPOSTAZIONI!$B$3)</f>
        <v/>
      </c>
      <c r="K82" s="19">
        <f>IF($B82="","",IF(OR(H82&lt;=0,I82&lt;=0),"VIOLAZIONE",IF(OR(H82&lt;IF(ROW()=2,IMPOSTAZIONI!$B$3,B81)*0.01,I82&lt;IMPOSTAZIONI!$B$3*0.02),"ATTENZIONE","OK")))</f>
        <v/>
      </c>
    </row>
    <row r="83">
      <c r="A83" s="20" t="n"/>
      <c r="B83" s="21" t="n"/>
      <c r="C83" s="21" t="n"/>
      <c r="D83" s="16" t="n"/>
      <c r="E83" s="17">
        <f>IF($B83="","",B83-IF(ROW()=2,IMPOSTAZIONI!$B$3,B82)+IF(C83="",0,C83))</f>
        <v/>
      </c>
      <c r="F83" s="18">
        <f>IF($B83="","",E83/IF(ROW()=2,IMPOSTAZIONI!$B$3,B82))</f>
        <v/>
      </c>
      <c r="G83" s="17">
        <f>IF($B83="","",IF(ROW()=2,IMPOSTAZIONI!$B$3,B82)*IMPOSTAZIONI!$B$4)</f>
        <v/>
      </c>
      <c r="H83" s="17">
        <f>IF($B83="","",G83+MIN(0,IF(D83="",E83,MIN(E83,D83-IF(ROW()=2,IMPOSTAZIONI!$B$3,B82)))))</f>
        <v/>
      </c>
      <c r="I83" s="17">
        <f>IF($B83="","",IF(D83="",B83,MIN(B83,D83))-IMPOSTAZIONI!$B$10)</f>
        <v/>
      </c>
      <c r="J83" s="17">
        <f>IF($B83="","",B83-IMPOSTAZIONI!$B$3)</f>
        <v/>
      </c>
      <c r="K83" s="19">
        <f>IF($B83="","",IF(OR(H83&lt;=0,I83&lt;=0),"VIOLAZIONE",IF(OR(H83&lt;IF(ROW()=2,IMPOSTAZIONI!$B$3,B82)*0.01,I83&lt;IMPOSTAZIONI!$B$3*0.02),"ATTENZIONE","OK")))</f>
        <v/>
      </c>
    </row>
    <row r="84">
      <c r="A84" s="20" t="n"/>
      <c r="B84" s="21" t="n"/>
      <c r="C84" s="21" t="n"/>
      <c r="D84" s="16" t="n"/>
      <c r="E84" s="17">
        <f>IF($B84="","",B84-IF(ROW()=2,IMPOSTAZIONI!$B$3,B83)+IF(C84="",0,C84))</f>
        <v/>
      </c>
      <c r="F84" s="18">
        <f>IF($B84="","",E84/IF(ROW()=2,IMPOSTAZIONI!$B$3,B83))</f>
        <v/>
      </c>
      <c r="G84" s="17">
        <f>IF($B84="","",IF(ROW()=2,IMPOSTAZIONI!$B$3,B83)*IMPOSTAZIONI!$B$4)</f>
        <v/>
      </c>
      <c r="H84" s="17">
        <f>IF($B84="","",G84+MIN(0,IF(D84="",E84,MIN(E84,D84-IF(ROW()=2,IMPOSTAZIONI!$B$3,B83)))))</f>
        <v/>
      </c>
      <c r="I84" s="17">
        <f>IF($B84="","",IF(D84="",B84,MIN(B84,D84))-IMPOSTAZIONI!$B$10)</f>
        <v/>
      </c>
      <c r="J84" s="17">
        <f>IF($B84="","",B84-IMPOSTAZIONI!$B$3)</f>
        <v/>
      </c>
      <c r="K84" s="19">
        <f>IF($B84="","",IF(OR(H84&lt;=0,I84&lt;=0),"VIOLAZIONE",IF(OR(H84&lt;IF(ROW()=2,IMPOSTAZIONI!$B$3,B83)*0.01,I84&lt;IMPOSTAZIONI!$B$3*0.02),"ATTENZIONE","OK")))</f>
        <v/>
      </c>
    </row>
    <row r="85">
      <c r="A85" s="20" t="n"/>
      <c r="B85" s="21" t="n"/>
      <c r="C85" s="21" t="n"/>
      <c r="D85" s="16" t="n"/>
      <c r="E85" s="17">
        <f>IF($B85="","",B85-IF(ROW()=2,IMPOSTAZIONI!$B$3,B84)+IF(C85="",0,C85))</f>
        <v/>
      </c>
      <c r="F85" s="18">
        <f>IF($B85="","",E85/IF(ROW()=2,IMPOSTAZIONI!$B$3,B84))</f>
        <v/>
      </c>
      <c r="G85" s="17">
        <f>IF($B85="","",IF(ROW()=2,IMPOSTAZIONI!$B$3,B84)*IMPOSTAZIONI!$B$4)</f>
        <v/>
      </c>
      <c r="H85" s="17">
        <f>IF($B85="","",G85+MIN(0,IF(D85="",E85,MIN(E85,D85-IF(ROW()=2,IMPOSTAZIONI!$B$3,B84)))))</f>
        <v/>
      </c>
      <c r="I85" s="17">
        <f>IF($B85="","",IF(D85="",B85,MIN(B85,D85))-IMPOSTAZIONI!$B$10)</f>
        <v/>
      </c>
      <c r="J85" s="17">
        <f>IF($B85="","",B85-IMPOSTAZIONI!$B$3)</f>
        <v/>
      </c>
      <c r="K85" s="19">
        <f>IF($B85="","",IF(OR(H85&lt;=0,I85&lt;=0),"VIOLAZIONE",IF(OR(H85&lt;IF(ROW()=2,IMPOSTAZIONI!$B$3,B84)*0.01,I85&lt;IMPOSTAZIONI!$B$3*0.02),"ATTENZIONE","OK")))</f>
        <v/>
      </c>
    </row>
    <row r="86">
      <c r="A86" s="20" t="n"/>
      <c r="B86" s="21" t="n"/>
      <c r="C86" s="21" t="n"/>
      <c r="D86" s="16" t="n"/>
      <c r="E86" s="17">
        <f>IF($B86="","",B86-IF(ROW()=2,IMPOSTAZIONI!$B$3,B85)+IF(C86="",0,C86))</f>
        <v/>
      </c>
      <c r="F86" s="18">
        <f>IF($B86="","",E86/IF(ROW()=2,IMPOSTAZIONI!$B$3,B85))</f>
        <v/>
      </c>
      <c r="G86" s="17">
        <f>IF($B86="","",IF(ROW()=2,IMPOSTAZIONI!$B$3,B85)*IMPOSTAZIONI!$B$4)</f>
        <v/>
      </c>
      <c r="H86" s="17">
        <f>IF($B86="","",G86+MIN(0,IF(D86="",E86,MIN(E86,D86-IF(ROW()=2,IMPOSTAZIONI!$B$3,B85)))))</f>
        <v/>
      </c>
      <c r="I86" s="17">
        <f>IF($B86="","",IF(D86="",B86,MIN(B86,D86))-IMPOSTAZIONI!$B$10)</f>
        <v/>
      </c>
      <c r="J86" s="17">
        <f>IF($B86="","",B86-IMPOSTAZIONI!$B$3)</f>
        <v/>
      </c>
      <c r="K86" s="19">
        <f>IF($B86="","",IF(OR(H86&lt;=0,I86&lt;=0),"VIOLAZIONE",IF(OR(H86&lt;IF(ROW()=2,IMPOSTAZIONI!$B$3,B85)*0.01,I86&lt;IMPOSTAZIONI!$B$3*0.02),"ATTENZIONE","OK")))</f>
        <v/>
      </c>
    </row>
    <row r="87">
      <c r="A87" s="20" t="n"/>
      <c r="B87" s="21" t="n"/>
      <c r="C87" s="21" t="n"/>
      <c r="D87" s="16" t="n"/>
      <c r="E87" s="17">
        <f>IF($B87="","",B87-IF(ROW()=2,IMPOSTAZIONI!$B$3,B86)+IF(C87="",0,C87))</f>
        <v/>
      </c>
      <c r="F87" s="18">
        <f>IF($B87="","",E87/IF(ROW()=2,IMPOSTAZIONI!$B$3,B86))</f>
        <v/>
      </c>
      <c r="G87" s="17">
        <f>IF($B87="","",IF(ROW()=2,IMPOSTAZIONI!$B$3,B86)*IMPOSTAZIONI!$B$4)</f>
        <v/>
      </c>
      <c r="H87" s="17">
        <f>IF($B87="","",G87+MIN(0,IF(D87="",E87,MIN(E87,D87-IF(ROW()=2,IMPOSTAZIONI!$B$3,B86)))))</f>
        <v/>
      </c>
      <c r="I87" s="17">
        <f>IF($B87="","",IF(D87="",B87,MIN(B87,D87))-IMPOSTAZIONI!$B$10)</f>
        <v/>
      </c>
      <c r="J87" s="17">
        <f>IF($B87="","",B87-IMPOSTAZIONI!$B$3)</f>
        <v/>
      </c>
      <c r="K87" s="19">
        <f>IF($B87="","",IF(OR(H87&lt;=0,I87&lt;=0),"VIOLAZIONE",IF(OR(H87&lt;IF(ROW()=2,IMPOSTAZIONI!$B$3,B86)*0.01,I87&lt;IMPOSTAZIONI!$B$3*0.02),"ATTENZIONE","OK")))</f>
        <v/>
      </c>
    </row>
    <row r="88">
      <c r="A88" s="20" t="n"/>
      <c r="B88" s="21" t="n"/>
      <c r="C88" s="21" t="n"/>
      <c r="D88" s="16" t="n"/>
      <c r="E88" s="17">
        <f>IF($B88="","",B88-IF(ROW()=2,IMPOSTAZIONI!$B$3,B87)+IF(C88="",0,C88))</f>
        <v/>
      </c>
      <c r="F88" s="18">
        <f>IF($B88="","",E88/IF(ROW()=2,IMPOSTAZIONI!$B$3,B87))</f>
        <v/>
      </c>
      <c r="G88" s="17">
        <f>IF($B88="","",IF(ROW()=2,IMPOSTAZIONI!$B$3,B87)*IMPOSTAZIONI!$B$4)</f>
        <v/>
      </c>
      <c r="H88" s="17">
        <f>IF($B88="","",G88+MIN(0,IF(D88="",E88,MIN(E88,D88-IF(ROW()=2,IMPOSTAZIONI!$B$3,B87)))))</f>
        <v/>
      </c>
      <c r="I88" s="17">
        <f>IF($B88="","",IF(D88="",B88,MIN(B88,D88))-IMPOSTAZIONI!$B$10)</f>
        <v/>
      </c>
      <c r="J88" s="17">
        <f>IF($B88="","",B88-IMPOSTAZIONI!$B$3)</f>
        <v/>
      </c>
      <c r="K88" s="19">
        <f>IF($B88="","",IF(OR(H88&lt;=0,I88&lt;=0),"VIOLAZIONE",IF(OR(H88&lt;IF(ROW()=2,IMPOSTAZIONI!$B$3,B87)*0.01,I88&lt;IMPOSTAZIONI!$B$3*0.02),"ATTENZIONE","OK")))</f>
        <v/>
      </c>
    </row>
    <row r="89">
      <c r="A89" s="20" t="n"/>
      <c r="B89" s="21" t="n"/>
      <c r="C89" s="21" t="n"/>
      <c r="D89" s="16" t="n"/>
      <c r="E89" s="17">
        <f>IF($B89="","",B89-IF(ROW()=2,IMPOSTAZIONI!$B$3,B88)+IF(C89="",0,C89))</f>
        <v/>
      </c>
      <c r="F89" s="18">
        <f>IF($B89="","",E89/IF(ROW()=2,IMPOSTAZIONI!$B$3,B88))</f>
        <v/>
      </c>
      <c r="G89" s="17">
        <f>IF($B89="","",IF(ROW()=2,IMPOSTAZIONI!$B$3,B88)*IMPOSTAZIONI!$B$4)</f>
        <v/>
      </c>
      <c r="H89" s="17">
        <f>IF($B89="","",G89+MIN(0,IF(D89="",E89,MIN(E89,D89-IF(ROW()=2,IMPOSTAZIONI!$B$3,B88)))))</f>
        <v/>
      </c>
      <c r="I89" s="17">
        <f>IF($B89="","",IF(D89="",B89,MIN(B89,D89))-IMPOSTAZIONI!$B$10)</f>
        <v/>
      </c>
      <c r="J89" s="17">
        <f>IF($B89="","",B89-IMPOSTAZIONI!$B$3)</f>
        <v/>
      </c>
      <c r="K89" s="19">
        <f>IF($B89="","",IF(OR(H89&lt;=0,I89&lt;=0),"VIOLAZIONE",IF(OR(H89&lt;IF(ROW()=2,IMPOSTAZIONI!$B$3,B88)*0.01,I89&lt;IMPOSTAZIONI!$B$3*0.02),"ATTENZIONE","OK")))</f>
        <v/>
      </c>
    </row>
    <row r="90">
      <c r="A90" s="20" t="n"/>
      <c r="B90" s="21" t="n"/>
      <c r="C90" s="21" t="n"/>
      <c r="D90" s="16" t="n"/>
      <c r="E90" s="17">
        <f>IF($B90="","",B90-IF(ROW()=2,IMPOSTAZIONI!$B$3,B89)+IF(C90="",0,C90))</f>
        <v/>
      </c>
      <c r="F90" s="18">
        <f>IF($B90="","",E90/IF(ROW()=2,IMPOSTAZIONI!$B$3,B89))</f>
        <v/>
      </c>
      <c r="G90" s="17">
        <f>IF($B90="","",IF(ROW()=2,IMPOSTAZIONI!$B$3,B89)*IMPOSTAZIONI!$B$4)</f>
        <v/>
      </c>
      <c r="H90" s="17">
        <f>IF($B90="","",G90+MIN(0,IF(D90="",E90,MIN(E90,D90-IF(ROW()=2,IMPOSTAZIONI!$B$3,B89)))))</f>
        <v/>
      </c>
      <c r="I90" s="17">
        <f>IF($B90="","",IF(D90="",B90,MIN(B90,D90))-IMPOSTAZIONI!$B$10)</f>
        <v/>
      </c>
      <c r="J90" s="17">
        <f>IF($B90="","",B90-IMPOSTAZIONI!$B$3)</f>
        <v/>
      </c>
      <c r="K90" s="19">
        <f>IF($B90="","",IF(OR(H90&lt;=0,I90&lt;=0),"VIOLAZIONE",IF(OR(H90&lt;IF(ROW()=2,IMPOSTAZIONI!$B$3,B89)*0.01,I90&lt;IMPOSTAZIONI!$B$3*0.02),"ATTENZIONE","OK")))</f>
        <v/>
      </c>
    </row>
    <row r="91">
      <c r="A91" s="20" t="n"/>
      <c r="B91" s="21" t="n"/>
      <c r="C91" s="21" t="n"/>
      <c r="D91" s="16" t="n"/>
      <c r="E91" s="17">
        <f>IF($B91="","",B91-IF(ROW()=2,IMPOSTAZIONI!$B$3,B90)+IF(C91="",0,C91))</f>
        <v/>
      </c>
      <c r="F91" s="18">
        <f>IF($B91="","",E91/IF(ROW()=2,IMPOSTAZIONI!$B$3,B90))</f>
        <v/>
      </c>
      <c r="G91" s="17">
        <f>IF($B91="","",IF(ROW()=2,IMPOSTAZIONI!$B$3,B90)*IMPOSTAZIONI!$B$4)</f>
        <v/>
      </c>
      <c r="H91" s="17">
        <f>IF($B91="","",G91+MIN(0,IF(D91="",E91,MIN(E91,D91-IF(ROW()=2,IMPOSTAZIONI!$B$3,B90)))))</f>
        <v/>
      </c>
      <c r="I91" s="17">
        <f>IF($B91="","",IF(D91="",B91,MIN(B91,D91))-IMPOSTAZIONI!$B$10)</f>
        <v/>
      </c>
      <c r="J91" s="17">
        <f>IF($B91="","",B91-IMPOSTAZIONI!$B$3)</f>
        <v/>
      </c>
      <c r="K91" s="19">
        <f>IF($B91="","",IF(OR(H91&lt;=0,I91&lt;=0),"VIOLAZIONE",IF(OR(H91&lt;IF(ROW()=2,IMPOSTAZIONI!$B$3,B90)*0.01,I91&lt;IMPOSTAZIONI!$B$3*0.02),"ATTENZIONE","OK")))</f>
        <v/>
      </c>
    </row>
    <row r="92">
      <c r="A92" s="20" t="n"/>
      <c r="B92" s="21" t="n"/>
      <c r="C92" s="21" t="n"/>
      <c r="D92" s="16" t="n"/>
      <c r="E92" s="17">
        <f>IF($B92="","",B92-IF(ROW()=2,IMPOSTAZIONI!$B$3,B91)+IF(C92="",0,C92))</f>
        <v/>
      </c>
      <c r="F92" s="18">
        <f>IF($B92="","",E92/IF(ROW()=2,IMPOSTAZIONI!$B$3,B91))</f>
        <v/>
      </c>
      <c r="G92" s="17">
        <f>IF($B92="","",IF(ROW()=2,IMPOSTAZIONI!$B$3,B91)*IMPOSTAZIONI!$B$4)</f>
        <v/>
      </c>
      <c r="H92" s="17">
        <f>IF($B92="","",G92+MIN(0,IF(D92="",E92,MIN(E92,D92-IF(ROW()=2,IMPOSTAZIONI!$B$3,B91)))))</f>
        <v/>
      </c>
      <c r="I92" s="17">
        <f>IF($B92="","",IF(D92="",B92,MIN(B92,D92))-IMPOSTAZIONI!$B$10)</f>
        <v/>
      </c>
      <c r="J92" s="17">
        <f>IF($B92="","",B92-IMPOSTAZIONI!$B$3)</f>
        <v/>
      </c>
      <c r="K92" s="19">
        <f>IF($B92="","",IF(OR(H92&lt;=0,I92&lt;=0),"VIOLAZIONE",IF(OR(H92&lt;IF(ROW()=2,IMPOSTAZIONI!$B$3,B91)*0.01,I92&lt;IMPOSTAZIONI!$B$3*0.02),"ATTENZIONE","OK")))</f>
        <v/>
      </c>
    </row>
    <row r="93">
      <c r="A93" s="20" t="n"/>
      <c r="B93" s="21" t="n"/>
      <c r="C93" s="21" t="n"/>
      <c r="D93" s="16" t="n"/>
      <c r="E93" s="17">
        <f>IF($B93="","",B93-IF(ROW()=2,IMPOSTAZIONI!$B$3,B92)+IF(C93="",0,C93))</f>
        <v/>
      </c>
      <c r="F93" s="18">
        <f>IF($B93="","",E93/IF(ROW()=2,IMPOSTAZIONI!$B$3,B92))</f>
        <v/>
      </c>
      <c r="G93" s="17">
        <f>IF($B93="","",IF(ROW()=2,IMPOSTAZIONI!$B$3,B92)*IMPOSTAZIONI!$B$4)</f>
        <v/>
      </c>
      <c r="H93" s="17">
        <f>IF($B93="","",G93+MIN(0,IF(D93="",E93,MIN(E93,D93-IF(ROW()=2,IMPOSTAZIONI!$B$3,B92)))))</f>
        <v/>
      </c>
      <c r="I93" s="17">
        <f>IF($B93="","",IF(D93="",B93,MIN(B93,D93))-IMPOSTAZIONI!$B$10)</f>
        <v/>
      </c>
      <c r="J93" s="17">
        <f>IF($B93="","",B93-IMPOSTAZIONI!$B$3)</f>
        <v/>
      </c>
      <c r="K93" s="19">
        <f>IF($B93="","",IF(OR(H93&lt;=0,I93&lt;=0),"VIOLAZIONE",IF(OR(H93&lt;IF(ROW()=2,IMPOSTAZIONI!$B$3,B92)*0.01,I93&lt;IMPOSTAZIONI!$B$3*0.02),"ATTENZIONE","OK")))</f>
        <v/>
      </c>
    </row>
    <row r="94">
      <c r="A94" s="20" t="n"/>
      <c r="B94" s="21" t="n"/>
      <c r="C94" s="21" t="n"/>
      <c r="D94" s="16" t="n"/>
      <c r="E94" s="17">
        <f>IF($B94="","",B94-IF(ROW()=2,IMPOSTAZIONI!$B$3,B93)+IF(C94="",0,C94))</f>
        <v/>
      </c>
      <c r="F94" s="18">
        <f>IF($B94="","",E94/IF(ROW()=2,IMPOSTAZIONI!$B$3,B93))</f>
        <v/>
      </c>
      <c r="G94" s="17">
        <f>IF($B94="","",IF(ROW()=2,IMPOSTAZIONI!$B$3,B93)*IMPOSTAZIONI!$B$4)</f>
        <v/>
      </c>
      <c r="H94" s="17">
        <f>IF($B94="","",G94+MIN(0,IF(D94="",E94,MIN(E94,D94-IF(ROW()=2,IMPOSTAZIONI!$B$3,B93)))))</f>
        <v/>
      </c>
      <c r="I94" s="17">
        <f>IF($B94="","",IF(D94="",B94,MIN(B94,D94))-IMPOSTAZIONI!$B$10)</f>
        <v/>
      </c>
      <c r="J94" s="17">
        <f>IF($B94="","",B94-IMPOSTAZIONI!$B$3)</f>
        <v/>
      </c>
      <c r="K94" s="19">
        <f>IF($B94="","",IF(OR(H94&lt;=0,I94&lt;=0),"VIOLAZIONE",IF(OR(H94&lt;IF(ROW()=2,IMPOSTAZIONI!$B$3,B93)*0.01,I94&lt;IMPOSTAZIONI!$B$3*0.02),"ATTENZIONE","OK")))</f>
        <v/>
      </c>
    </row>
    <row r="95">
      <c r="A95" s="20" t="n"/>
      <c r="B95" s="21" t="n"/>
      <c r="C95" s="21" t="n"/>
      <c r="D95" s="16" t="n"/>
      <c r="E95" s="17">
        <f>IF($B95="","",B95-IF(ROW()=2,IMPOSTAZIONI!$B$3,B94)+IF(C95="",0,C95))</f>
        <v/>
      </c>
      <c r="F95" s="18">
        <f>IF($B95="","",E95/IF(ROW()=2,IMPOSTAZIONI!$B$3,B94))</f>
        <v/>
      </c>
      <c r="G95" s="17">
        <f>IF($B95="","",IF(ROW()=2,IMPOSTAZIONI!$B$3,B94)*IMPOSTAZIONI!$B$4)</f>
        <v/>
      </c>
      <c r="H95" s="17">
        <f>IF($B95="","",G95+MIN(0,IF(D95="",E95,MIN(E95,D95-IF(ROW()=2,IMPOSTAZIONI!$B$3,B94)))))</f>
        <v/>
      </c>
      <c r="I95" s="17">
        <f>IF($B95="","",IF(D95="",B95,MIN(B95,D95))-IMPOSTAZIONI!$B$10)</f>
        <v/>
      </c>
      <c r="J95" s="17">
        <f>IF($B95="","",B95-IMPOSTAZIONI!$B$3)</f>
        <v/>
      </c>
      <c r="K95" s="19">
        <f>IF($B95="","",IF(OR(H95&lt;=0,I95&lt;=0),"VIOLAZIONE",IF(OR(H95&lt;IF(ROW()=2,IMPOSTAZIONI!$B$3,B94)*0.01,I95&lt;IMPOSTAZIONI!$B$3*0.02),"ATTENZIONE","OK")))</f>
        <v/>
      </c>
    </row>
    <row r="96">
      <c r="A96" s="20" t="n"/>
      <c r="B96" s="21" t="n"/>
      <c r="C96" s="21" t="n"/>
      <c r="D96" s="16" t="n"/>
      <c r="E96" s="17">
        <f>IF($B96="","",B96-IF(ROW()=2,IMPOSTAZIONI!$B$3,B95)+IF(C96="",0,C96))</f>
        <v/>
      </c>
      <c r="F96" s="18">
        <f>IF($B96="","",E96/IF(ROW()=2,IMPOSTAZIONI!$B$3,B95))</f>
        <v/>
      </c>
      <c r="G96" s="17">
        <f>IF($B96="","",IF(ROW()=2,IMPOSTAZIONI!$B$3,B95)*IMPOSTAZIONI!$B$4)</f>
        <v/>
      </c>
      <c r="H96" s="17">
        <f>IF($B96="","",G96+MIN(0,IF(D96="",E96,MIN(E96,D96-IF(ROW()=2,IMPOSTAZIONI!$B$3,B95)))))</f>
        <v/>
      </c>
      <c r="I96" s="17">
        <f>IF($B96="","",IF(D96="",B96,MIN(B96,D96))-IMPOSTAZIONI!$B$10)</f>
        <v/>
      </c>
      <c r="J96" s="17">
        <f>IF($B96="","",B96-IMPOSTAZIONI!$B$3)</f>
        <v/>
      </c>
      <c r="K96" s="19">
        <f>IF($B96="","",IF(OR(H96&lt;=0,I96&lt;=0),"VIOLAZIONE",IF(OR(H96&lt;IF(ROW()=2,IMPOSTAZIONI!$B$3,B95)*0.01,I96&lt;IMPOSTAZIONI!$B$3*0.02),"ATTENZIONE","OK")))</f>
        <v/>
      </c>
    </row>
    <row r="97">
      <c r="A97" s="20" t="n"/>
      <c r="B97" s="21" t="n"/>
      <c r="C97" s="21" t="n"/>
      <c r="D97" s="16" t="n"/>
      <c r="E97" s="17">
        <f>IF($B97="","",B97-IF(ROW()=2,IMPOSTAZIONI!$B$3,B96)+IF(C97="",0,C97))</f>
        <v/>
      </c>
      <c r="F97" s="18">
        <f>IF($B97="","",E97/IF(ROW()=2,IMPOSTAZIONI!$B$3,B96))</f>
        <v/>
      </c>
      <c r="G97" s="17">
        <f>IF($B97="","",IF(ROW()=2,IMPOSTAZIONI!$B$3,B96)*IMPOSTAZIONI!$B$4)</f>
        <v/>
      </c>
      <c r="H97" s="17">
        <f>IF($B97="","",G97+MIN(0,IF(D97="",E97,MIN(E97,D97-IF(ROW()=2,IMPOSTAZIONI!$B$3,B96)))))</f>
        <v/>
      </c>
      <c r="I97" s="17">
        <f>IF($B97="","",IF(D97="",B97,MIN(B97,D97))-IMPOSTAZIONI!$B$10)</f>
        <v/>
      </c>
      <c r="J97" s="17">
        <f>IF($B97="","",B97-IMPOSTAZIONI!$B$3)</f>
        <v/>
      </c>
      <c r="K97" s="19">
        <f>IF($B97="","",IF(OR(H97&lt;=0,I97&lt;=0),"VIOLAZIONE",IF(OR(H97&lt;IF(ROW()=2,IMPOSTAZIONI!$B$3,B96)*0.01,I97&lt;IMPOSTAZIONI!$B$3*0.02),"ATTENZIONE","OK")))</f>
        <v/>
      </c>
    </row>
    <row r="98">
      <c r="A98" s="20" t="n"/>
      <c r="B98" s="21" t="n"/>
      <c r="C98" s="21" t="n"/>
      <c r="D98" s="16" t="n"/>
      <c r="E98" s="17">
        <f>IF($B98="","",B98-IF(ROW()=2,IMPOSTAZIONI!$B$3,B97)+IF(C98="",0,C98))</f>
        <v/>
      </c>
      <c r="F98" s="18">
        <f>IF($B98="","",E98/IF(ROW()=2,IMPOSTAZIONI!$B$3,B97))</f>
        <v/>
      </c>
      <c r="G98" s="17">
        <f>IF($B98="","",IF(ROW()=2,IMPOSTAZIONI!$B$3,B97)*IMPOSTAZIONI!$B$4)</f>
        <v/>
      </c>
      <c r="H98" s="17">
        <f>IF($B98="","",G98+MIN(0,IF(D98="",E98,MIN(E98,D98-IF(ROW()=2,IMPOSTAZIONI!$B$3,B97)))))</f>
        <v/>
      </c>
      <c r="I98" s="17">
        <f>IF($B98="","",IF(D98="",B98,MIN(B98,D98))-IMPOSTAZIONI!$B$10)</f>
        <v/>
      </c>
      <c r="J98" s="17">
        <f>IF($B98="","",B98-IMPOSTAZIONI!$B$3)</f>
        <v/>
      </c>
      <c r="K98" s="19">
        <f>IF($B98="","",IF(OR(H98&lt;=0,I98&lt;=0),"VIOLAZIONE",IF(OR(H98&lt;IF(ROW()=2,IMPOSTAZIONI!$B$3,B97)*0.01,I98&lt;IMPOSTAZIONI!$B$3*0.02),"ATTENZIONE","OK")))</f>
        <v/>
      </c>
    </row>
    <row r="99">
      <c r="A99" s="20" t="n"/>
      <c r="B99" s="21" t="n"/>
      <c r="C99" s="21" t="n"/>
      <c r="D99" s="16" t="n"/>
      <c r="E99" s="17">
        <f>IF($B99="","",B99-IF(ROW()=2,IMPOSTAZIONI!$B$3,B98)+IF(C99="",0,C99))</f>
        <v/>
      </c>
      <c r="F99" s="18">
        <f>IF($B99="","",E99/IF(ROW()=2,IMPOSTAZIONI!$B$3,B98))</f>
        <v/>
      </c>
      <c r="G99" s="17">
        <f>IF($B99="","",IF(ROW()=2,IMPOSTAZIONI!$B$3,B98)*IMPOSTAZIONI!$B$4)</f>
        <v/>
      </c>
      <c r="H99" s="17">
        <f>IF($B99="","",G99+MIN(0,IF(D99="",E99,MIN(E99,D99-IF(ROW()=2,IMPOSTAZIONI!$B$3,B98)))))</f>
        <v/>
      </c>
      <c r="I99" s="17">
        <f>IF($B99="","",IF(D99="",B99,MIN(B99,D99))-IMPOSTAZIONI!$B$10)</f>
        <v/>
      </c>
      <c r="J99" s="17">
        <f>IF($B99="","",B99-IMPOSTAZIONI!$B$3)</f>
        <v/>
      </c>
      <c r="K99" s="19">
        <f>IF($B99="","",IF(OR(H99&lt;=0,I99&lt;=0),"VIOLAZIONE",IF(OR(H99&lt;IF(ROW()=2,IMPOSTAZIONI!$B$3,B98)*0.01,I99&lt;IMPOSTAZIONI!$B$3*0.02),"ATTENZIONE","OK")))</f>
        <v/>
      </c>
    </row>
    <row r="100">
      <c r="A100" s="20" t="n"/>
      <c r="B100" s="21" t="n"/>
      <c r="C100" s="21" t="n"/>
      <c r="D100" s="16" t="n"/>
      <c r="E100" s="17">
        <f>IF($B100="","",B100-IF(ROW()=2,IMPOSTAZIONI!$B$3,B99)+IF(C100="",0,C100))</f>
        <v/>
      </c>
      <c r="F100" s="18">
        <f>IF($B100="","",E100/IF(ROW()=2,IMPOSTAZIONI!$B$3,B99))</f>
        <v/>
      </c>
      <c r="G100" s="17">
        <f>IF($B100="","",IF(ROW()=2,IMPOSTAZIONI!$B$3,B99)*IMPOSTAZIONI!$B$4)</f>
        <v/>
      </c>
      <c r="H100" s="17">
        <f>IF($B100="","",G100+MIN(0,IF(D100="",E100,MIN(E100,D100-IF(ROW()=2,IMPOSTAZIONI!$B$3,B99)))))</f>
        <v/>
      </c>
      <c r="I100" s="17">
        <f>IF($B100="","",IF(D100="",B100,MIN(B100,D100))-IMPOSTAZIONI!$B$10)</f>
        <v/>
      </c>
      <c r="J100" s="17">
        <f>IF($B100="","",B100-IMPOSTAZIONI!$B$3)</f>
        <v/>
      </c>
      <c r="K100" s="19">
        <f>IF($B100="","",IF(OR(H100&lt;=0,I100&lt;=0),"VIOLAZIONE",IF(OR(H100&lt;IF(ROW()=2,IMPOSTAZIONI!$B$3,B99)*0.01,I100&lt;IMPOSTAZIONI!$B$3*0.02),"ATTENZIONE","OK")))</f>
        <v/>
      </c>
    </row>
    <row r="101">
      <c r="A101" s="20" t="n"/>
      <c r="B101" s="21" t="n"/>
      <c r="C101" s="21" t="n"/>
      <c r="D101" s="16" t="n"/>
      <c r="E101" s="17">
        <f>IF($B101="","",B101-IF(ROW()=2,IMPOSTAZIONI!$B$3,B100)+IF(C101="",0,C101))</f>
        <v/>
      </c>
      <c r="F101" s="18">
        <f>IF($B101="","",E101/IF(ROW()=2,IMPOSTAZIONI!$B$3,B100))</f>
        <v/>
      </c>
      <c r="G101" s="17">
        <f>IF($B101="","",IF(ROW()=2,IMPOSTAZIONI!$B$3,B100)*IMPOSTAZIONI!$B$4)</f>
        <v/>
      </c>
      <c r="H101" s="17">
        <f>IF($B101="","",G101+MIN(0,IF(D101="",E101,MIN(E101,D101-IF(ROW()=2,IMPOSTAZIONI!$B$3,B100)))))</f>
        <v/>
      </c>
      <c r="I101" s="17">
        <f>IF($B101="","",IF(D101="",B101,MIN(B101,D101))-IMPOSTAZIONI!$B$10)</f>
        <v/>
      </c>
      <c r="J101" s="17">
        <f>IF($B101="","",B101-IMPOSTAZIONI!$B$3)</f>
        <v/>
      </c>
      <c r="K101" s="19">
        <f>IF($B101="","",IF(OR(H101&lt;=0,I101&lt;=0),"VIOLAZIONE",IF(OR(H101&lt;IF(ROW()=2,IMPOSTAZIONI!$B$3,B100)*0.01,I101&lt;IMPOSTAZIONI!$B$3*0.02),"ATTENZIONE","OK")))</f>
        <v/>
      </c>
    </row>
    <row r="102">
      <c r="A102" s="20" t="n"/>
      <c r="B102" s="21" t="n"/>
      <c r="C102" s="21" t="n"/>
      <c r="D102" s="16" t="n"/>
      <c r="E102" s="17">
        <f>IF($B102="","",B102-IF(ROW()=2,IMPOSTAZIONI!$B$3,B101)+IF(C102="",0,C102))</f>
        <v/>
      </c>
      <c r="F102" s="18">
        <f>IF($B102="","",E102/IF(ROW()=2,IMPOSTAZIONI!$B$3,B101))</f>
        <v/>
      </c>
      <c r="G102" s="17">
        <f>IF($B102="","",IF(ROW()=2,IMPOSTAZIONI!$B$3,B101)*IMPOSTAZIONI!$B$4)</f>
        <v/>
      </c>
      <c r="H102" s="17">
        <f>IF($B102="","",G102+MIN(0,IF(D102="",E102,MIN(E102,D102-IF(ROW()=2,IMPOSTAZIONI!$B$3,B101)))))</f>
        <v/>
      </c>
      <c r="I102" s="17">
        <f>IF($B102="","",IF(D102="",B102,MIN(B102,D102))-IMPOSTAZIONI!$B$10)</f>
        <v/>
      </c>
      <c r="J102" s="17">
        <f>IF($B102="","",B102-IMPOSTAZIONI!$B$3)</f>
        <v/>
      </c>
      <c r="K102" s="19">
        <f>IF($B102="","",IF(OR(H102&lt;=0,I102&lt;=0),"VIOLAZIONE",IF(OR(H102&lt;IF(ROW()=2,IMPOSTAZIONI!$B$3,B101)*0.01,I102&lt;IMPOSTAZIONI!$B$3*0.02),"ATTENZIONE","OK")))</f>
        <v/>
      </c>
    </row>
    <row r="103">
      <c r="A103" s="20" t="n"/>
      <c r="B103" s="21" t="n"/>
      <c r="C103" s="21" t="n"/>
      <c r="D103" s="16" t="n"/>
      <c r="E103" s="17">
        <f>IF($B103="","",B103-IF(ROW()=2,IMPOSTAZIONI!$B$3,B102)+IF(C103="",0,C103))</f>
        <v/>
      </c>
      <c r="F103" s="18">
        <f>IF($B103="","",E103/IF(ROW()=2,IMPOSTAZIONI!$B$3,B102))</f>
        <v/>
      </c>
      <c r="G103" s="17">
        <f>IF($B103="","",IF(ROW()=2,IMPOSTAZIONI!$B$3,B102)*IMPOSTAZIONI!$B$4)</f>
        <v/>
      </c>
      <c r="H103" s="17">
        <f>IF($B103="","",G103+MIN(0,IF(D103="",E103,MIN(E103,D103-IF(ROW()=2,IMPOSTAZIONI!$B$3,B102)))))</f>
        <v/>
      </c>
      <c r="I103" s="17">
        <f>IF($B103="","",IF(D103="",B103,MIN(B103,D103))-IMPOSTAZIONI!$B$10)</f>
        <v/>
      </c>
      <c r="J103" s="17">
        <f>IF($B103="","",B103-IMPOSTAZIONI!$B$3)</f>
        <v/>
      </c>
      <c r="K103" s="19">
        <f>IF($B103="","",IF(OR(H103&lt;=0,I103&lt;=0),"VIOLAZIONE",IF(OR(H103&lt;IF(ROW()=2,IMPOSTAZIONI!$B$3,B102)*0.01,I103&lt;IMPOSTAZIONI!$B$3*0.02),"ATTENZIONE","OK")))</f>
        <v/>
      </c>
    </row>
    <row r="104">
      <c r="A104" s="20" t="n"/>
      <c r="B104" s="21" t="n"/>
      <c r="C104" s="21" t="n"/>
      <c r="D104" s="16" t="n"/>
      <c r="E104" s="17">
        <f>IF($B104="","",B104-IF(ROW()=2,IMPOSTAZIONI!$B$3,B103)+IF(C104="",0,C104))</f>
        <v/>
      </c>
      <c r="F104" s="18">
        <f>IF($B104="","",E104/IF(ROW()=2,IMPOSTAZIONI!$B$3,B103))</f>
        <v/>
      </c>
      <c r="G104" s="17">
        <f>IF($B104="","",IF(ROW()=2,IMPOSTAZIONI!$B$3,B103)*IMPOSTAZIONI!$B$4)</f>
        <v/>
      </c>
      <c r="H104" s="17">
        <f>IF($B104="","",G104+MIN(0,IF(D104="",E104,MIN(E104,D104-IF(ROW()=2,IMPOSTAZIONI!$B$3,B103)))))</f>
        <v/>
      </c>
      <c r="I104" s="17">
        <f>IF($B104="","",IF(D104="",B104,MIN(B104,D104))-IMPOSTAZIONI!$B$10)</f>
        <v/>
      </c>
      <c r="J104" s="17">
        <f>IF($B104="","",B104-IMPOSTAZIONI!$B$3)</f>
        <v/>
      </c>
      <c r="K104" s="19">
        <f>IF($B104="","",IF(OR(H104&lt;=0,I104&lt;=0),"VIOLAZIONE",IF(OR(H104&lt;IF(ROW()=2,IMPOSTAZIONI!$B$3,B103)*0.01,I104&lt;IMPOSTAZIONI!$B$3*0.02),"ATTENZIONE","OK")))</f>
        <v/>
      </c>
    </row>
    <row r="105">
      <c r="A105" s="20" t="n"/>
      <c r="B105" s="21" t="n"/>
      <c r="C105" s="21" t="n"/>
      <c r="D105" s="16" t="n"/>
      <c r="E105" s="17">
        <f>IF($B105="","",B105-IF(ROW()=2,IMPOSTAZIONI!$B$3,B104)+IF(C105="",0,C105))</f>
        <v/>
      </c>
      <c r="F105" s="18">
        <f>IF($B105="","",E105/IF(ROW()=2,IMPOSTAZIONI!$B$3,B104))</f>
        <v/>
      </c>
      <c r="G105" s="17">
        <f>IF($B105="","",IF(ROW()=2,IMPOSTAZIONI!$B$3,B104)*IMPOSTAZIONI!$B$4)</f>
        <v/>
      </c>
      <c r="H105" s="17">
        <f>IF($B105="","",G105+MIN(0,IF(D105="",E105,MIN(E105,D105-IF(ROW()=2,IMPOSTAZIONI!$B$3,B104)))))</f>
        <v/>
      </c>
      <c r="I105" s="17">
        <f>IF($B105="","",IF(D105="",B105,MIN(B105,D105))-IMPOSTAZIONI!$B$10)</f>
        <v/>
      </c>
      <c r="J105" s="17">
        <f>IF($B105="","",B105-IMPOSTAZIONI!$B$3)</f>
        <v/>
      </c>
      <c r="K105" s="19">
        <f>IF($B105="","",IF(OR(H105&lt;=0,I105&lt;=0),"VIOLAZIONE",IF(OR(H105&lt;IF(ROW()=2,IMPOSTAZIONI!$B$3,B104)*0.01,I105&lt;IMPOSTAZIONI!$B$3*0.02),"ATTENZIONE","OK")))</f>
        <v/>
      </c>
    </row>
    <row r="106">
      <c r="A106" s="20" t="n"/>
      <c r="B106" s="21" t="n"/>
      <c r="C106" s="21" t="n"/>
      <c r="D106" s="16" t="n"/>
      <c r="E106" s="17">
        <f>IF($B106="","",B106-IF(ROW()=2,IMPOSTAZIONI!$B$3,B105)+IF(C106="",0,C106))</f>
        <v/>
      </c>
      <c r="F106" s="18">
        <f>IF($B106="","",E106/IF(ROW()=2,IMPOSTAZIONI!$B$3,B105))</f>
        <v/>
      </c>
      <c r="G106" s="17">
        <f>IF($B106="","",IF(ROW()=2,IMPOSTAZIONI!$B$3,B105)*IMPOSTAZIONI!$B$4)</f>
        <v/>
      </c>
      <c r="H106" s="17">
        <f>IF($B106="","",G106+MIN(0,IF(D106="",E106,MIN(E106,D106-IF(ROW()=2,IMPOSTAZIONI!$B$3,B105)))))</f>
        <v/>
      </c>
      <c r="I106" s="17">
        <f>IF($B106="","",IF(D106="",B106,MIN(B106,D106))-IMPOSTAZIONI!$B$10)</f>
        <v/>
      </c>
      <c r="J106" s="17">
        <f>IF($B106="","",B106-IMPOSTAZIONI!$B$3)</f>
        <v/>
      </c>
      <c r="K106" s="19">
        <f>IF($B106="","",IF(OR(H106&lt;=0,I106&lt;=0),"VIOLAZIONE",IF(OR(H106&lt;IF(ROW()=2,IMPOSTAZIONI!$B$3,B105)*0.01,I106&lt;IMPOSTAZIONI!$B$3*0.02),"ATTENZIONE","OK")))</f>
        <v/>
      </c>
    </row>
    <row r="107">
      <c r="A107" s="20" t="n"/>
      <c r="B107" s="21" t="n"/>
      <c r="C107" s="21" t="n"/>
      <c r="D107" s="16" t="n"/>
      <c r="E107" s="17">
        <f>IF($B107="","",B107-IF(ROW()=2,IMPOSTAZIONI!$B$3,B106)+IF(C107="",0,C107))</f>
        <v/>
      </c>
      <c r="F107" s="18">
        <f>IF($B107="","",E107/IF(ROW()=2,IMPOSTAZIONI!$B$3,B106))</f>
        <v/>
      </c>
      <c r="G107" s="17">
        <f>IF($B107="","",IF(ROW()=2,IMPOSTAZIONI!$B$3,B106)*IMPOSTAZIONI!$B$4)</f>
        <v/>
      </c>
      <c r="H107" s="17">
        <f>IF($B107="","",G107+MIN(0,IF(D107="",E107,MIN(E107,D107-IF(ROW()=2,IMPOSTAZIONI!$B$3,B106)))))</f>
        <v/>
      </c>
      <c r="I107" s="17">
        <f>IF($B107="","",IF(D107="",B107,MIN(B107,D107))-IMPOSTAZIONI!$B$10)</f>
        <v/>
      </c>
      <c r="J107" s="17">
        <f>IF($B107="","",B107-IMPOSTAZIONI!$B$3)</f>
        <v/>
      </c>
      <c r="K107" s="19">
        <f>IF($B107="","",IF(OR(H107&lt;=0,I107&lt;=0),"VIOLAZIONE",IF(OR(H107&lt;IF(ROW()=2,IMPOSTAZIONI!$B$3,B106)*0.01,I107&lt;IMPOSTAZIONI!$B$3*0.02),"ATTENZIONE","OK")))</f>
        <v/>
      </c>
    </row>
    <row r="108">
      <c r="A108" s="20" t="n"/>
      <c r="B108" s="21" t="n"/>
      <c r="C108" s="21" t="n"/>
      <c r="D108" s="16" t="n"/>
      <c r="E108" s="17">
        <f>IF($B108="","",B108-IF(ROW()=2,IMPOSTAZIONI!$B$3,B107)+IF(C108="",0,C108))</f>
        <v/>
      </c>
      <c r="F108" s="18">
        <f>IF($B108="","",E108/IF(ROW()=2,IMPOSTAZIONI!$B$3,B107))</f>
        <v/>
      </c>
      <c r="G108" s="17">
        <f>IF($B108="","",IF(ROW()=2,IMPOSTAZIONI!$B$3,B107)*IMPOSTAZIONI!$B$4)</f>
        <v/>
      </c>
      <c r="H108" s="17">
        <f>IF($B108="","",G108+MIN(0,IF(D108="",E108,MIN(E108,D108-IF(ROW()=2,IMPOSTAZIONI!$B$3,B107)))))</f>
        <v/>
      </c>
      <c r="I108" s="17">
        <f>IF($B108="","",IF(D108="",B108,MIN(B108,D108))-IMPOSTAZIONI!$B$10)</f>
        <v/>
      </c>
      <c r="J108" s="17">
        <f>IF($B108="","",B108-IMPOSTAZIONI!$B$3)</f>
        <v/>
      </c>
      <c r="K108" s="19">
        <f>IF($B108="","",IF(OR(H108&lt;=0,I108&lt;=0),"VIOLAZIONE",IF(OR(H108&lt;IF(ROW()=2,IMPOSTAZIONI!$B$3,B107)*0.01,I108&lt;IMPOSTAZIONI!$B$3*0.02),"ATTENZIONE","OK")))</f>
        <v/>
      </c>
    </row>
    <row r="109">
      <c r="A109" s="20" t="n"/>
      <c r="B109" s="21" t="n"/>
      <c r="C109" s="21" t="n"/>
      <c r="D109" s="16" t="n"/>
      <c r="E109" s="17">
        <f>IF($B109="","",B109-IF(ROW()=2,IMPOSTAZIONI!$B$3,B108)+IF(C109="",0,C109))</f>
        <v/>
      </c>
      <c r="F109" s="18">
        <f>IF($B109="","",E109/IF(ROW()=2,IMPOSTAZIONI!$B$3,B108))</f>
        <v/>
      </c>
      <c r="G109" s="17">
        <f>IF($B109="","",IF(ROW()=2,IMPOSTAZIONI!$B$3,B108)*IMPOSTAZIONI!$B$4)</f>
        <v/>
      </c>
      <c r="H109" s="17">
        <f>IF($B109="","",G109+MIN(0,IF(D109="",E109,MIN(E109,D109-IF(ROW()=2,IMPOSTAZIONI!$B$3,B108)))))</f>
        <v/>
      </c>
      <c r="I109" s="17">
        <f>IF($B109="","",IF(D109="",B109,MIN(B109,D109))-IMPOSTAZIONI!$B$10)</f>
        <v/>
      </c>
      <c r="J109" s="17">
        <f>IF($B109="","",B109-IMPOSTAZIONI!$B$3)</f>
        <v/>
      </c>
      <c r="K109" s="19">
        <f>IF($B109="","",IF(OR(H109&lt;=0,I109&lt;=0),"VIOLAZIONE",IF(OR(H109&lt;IF(ROW()=2,IMPOSTAZIONI!$B$3,B108)*0.01,I109&lt;IMPOSTAZIONI!$B$3*0.02),"ATTENZIONE","OK")))</f>
        <v/>
      </c>
    </row>
    <row r="110">
      <c r="A110" s="20" t="n"/>
      <c r="B110" s="21" t="n"/>
      <c r="C110" s="21" t="n"/>
      <c r="D110" s="16" t="n"/>
      <c r="E110" s="17">
        <f>IF($B110="","",B110-IF(ROW()=2,IMPOSTAZIONI!$B$3,B109)+IF(C110="",0,C110))</f>
        <v/>
      </c>
      <c r="F110" s="18">
        <f>IF($B110="","",E110/IF(ROW()=2,IMPOSTAZIONI!$B$3,B109))</f>
        <v/>
      </c>
      <c r="G110" s="17">
        <f>IF($B110="","",IF(ROW()=2,IMPOSTAZIONI!$B$3,B109)*IMPOSTAZIONI!$B$4)</f>
        <v/>
      </c>
      <c r="H110" s="17">
        <f>IF($B110="","",G110+MIN(0,IF(D110="",E110,MIN(E110,D110-IF(ROW()=2,IMPOSTAZIONI!$B$3,B109)))))</f>
        <v/>
      </c>
      <c r="I110" s="17">
        <f>IF($B110="","",IF(D110="",B110,MIN(B110,D110))-IMPOSTAZIONI!$B$10)</f>
        <v/>
      </c>
      <c r="J110" s="17">
        <f>IF($B110="","",B110-IMPOSTAZIONI!$B$3)</f>
        <v/>
      </c>
      <c r="K110" s="19">
        <f>IF($B110="","",IF(OR(H110&lt;=0,I110&lt;=0),"VIOLAZIONE",IF(OR(H110&lt;IF(ROW()=2,IMPOSTAZIONI!$B$3,B109)*0.01,I110&lt;IMPOSTAZIONI!$B$3*0.02),"ATTENZIONE","OK")))</f>
        <v/>
      </c>
    </row>
    <row r="111">
      <c r="A111" s="20" t="n"/>
      <c r="B111" s="21" t="n"/>
      <c r="C111" s="21" t="n"/>
      <c r="D111" s="16" t="n"/>
      <c r="E111" s="17">
        <f>IF($B111="","",B111-IF(ROW()=2,IMPOSTAZIONI!$B$3,B110)+IF(C111="",0,C111))</f>
        <v/>
      </c>
      <c r="F111" s="18">
        <f>IF($B111="","",E111/IF(ROW()=2,IMPOSTAZIONI!$B$3,B110))</f>
        <v/>
      </c>
      <c r="G111" s="17">
        <f>IF($B111="","",IF(ROW()=2,IMPOSTAZIONI!$B$3,B110)*IMPOSTAZIONI!$B$4)</f>
        <v/>
      </c>
      <c r="H111" s="17">
        <f>IF($B111="","",G111+MIN(0,IF(D111="",E111,MIN(E111,D111-IF(ROW()=2,IMPOSTAZIONI!$B$3,B110)))))</f>
        <v/>
      </c>
      <c r="I111" s="17">
        <f>IF($B111="","",IF(D111="",B111,MIN(B111,D111))-IMPOSTAZIONI!$B$10)</f>
        <v/>
      </c>
      <c r="J111" s="17">
        <f>IF($B111="","",B111-IMPOSTAZIONI!$B$3)</f>
        <v/>
      </c>
      <c r="K111" s="19">
        <f>IF($B111="","",IF(OR(H111&lt;=0,I111&lt;=0),"VIOLAZIONE",IF(OR(H111&lt;IF(ROW()=2,IMPOSTAZIONI!$B$3,B110)*0.01,I111&lt;IMPOSTAZIONI!$B$3*0.02),"ATTENZIONE","OK")))</f>
        <v/>
      </c>
    </row>
    <row r="112">
      <c r="A112" s="20" t="n"/>
      <c r="B112" s="21" t="n"/>
      <c r="C112" s="21" t="n"/>
      <c r="D112" s="16" t="n"/>
      <c r="E112" s="17">
        <f>IF($B112="","",B112-IF(ROW()=2,IMPOSTAZIONI!$B$3,B111)+IF(C112="",0,C112))</f>
        <v/>
      </c>
      <c r="F112" s="18">
        <f>IF($B112="","",E112/IF(ROW()=2,IMPOSTAZIONI!$B$3,B111))</f>
        <v/>
      </c>
      <c r="G112" s="17">
        <f>IF($B112="","",IF(ROW()=2,IMPOSTAZIONI!$B$3,B111)*IMPOSTAZIONI!$B$4)</f>
        <v/>
      </c>
      <c r="H112" s="17">
        <f>IF($B112="","",G112+MIN(0,IF(D112="",E112,MIN(E112,D112-IF(ROW()=2,IMPOSTAZIONI!$B$3,B111)))))</f>
        <v/>
      </c>
      <c r="I112" s="17">
        <f>IF($B112="","",IF(D112="",B112,MIN(B112,D112))-IMPOSTAZIONI!$B$10)</f>
        <v/>
      </c>
      <c r="J112" s="17">
        <f>IF($B112="","",B112-IMPOSTAZIONI!$B$3)</f>
        <v/>
      </c>
      <c r="K112" s="19">
        <f>IF($B112="","",IF(OR(H112&lt;=0,I112&lt;=0),"VIOLAZIONE",IF(OR(H112&lt;IF(ROW()=2,IMPOSTAZIONI!$B$3,B111)*0.01,I112&lt;IMPOSTAZIONI!$B$3*0.02),"ATTENZIONE","OK")))</f>
        <v/>
      </c>
    </row>
    <row r="113">
      <c r="A113" s="20" t="n"/>
      <c r="B113" s="21" t="n"/>
      <c r="C113" s="21" t="n"/>
      <c r="D113" s="16" t="n"/>
      <c r="E113" s="17">
        <f>IF($B113="","",B113-IF(ROW()=2,IMPOSTAZIONI!$B$3,B112)+IF(C113="",0,C113))</f>
        <v/>
      </c>
      <c r="F113" s="18">
        <f>IF($B113="","",E113/IF(ROW()=2,IMPOSTAZIONI!$B$3,B112))</f>
        <v/>
      </c>
      <c r="G113" s="17">
        <f>IF($B113="","",IF(ROW()=2,IMPOSTAZIONI!$B$3,B112)*IMPOSTAZIONI!$B$4)</f>
        <v/>
      </c>
      <c r="H113" s="17">
        <f>IF($B113="","",G113+MIN(0,IF(D113="",E113,MIN(E113,D113-IF(ROW()=2,IMPOSTAZIONI!$B$3,B112)))))</f>
        <v/>
      </c>
      <c r="I113" s="17">
        <f>IF($B113="","",IF(D113="",B113,MIN(B113,D113))-IMPOSTAZIONI!$B$10)</f>
        <v/>
      </c>
      <c r="J113" s="17">
        <f>IF($B113="","",B113-IMPOSTAZIONI!$B$3)</f>
        <v/>
      </c>
      <c r="K113" s="19">
        <f>IF($B113="","",IF(OR(H113&lt;=0,I113&lt;=0),"VIOLAZIONE",IF(OR(H113&lt;IF(ROW()=2,IMPOSTAZIONI!$B$3,B112)*0.01,I113&lt;IMPOSTAZIONI!$B$3*0.02),"ATTENZIONE","OK")))</f>
        <v/>
      </c>
    </row>
    <row r="114">
      <c r="A114" s="20" t="n"/>
      <c r="B114" s="21" t="n"/>
      <c r="C114" s="21" t="n"/>
      <c r="D114" s="16" t="n"/>
      <c r="E114" s="17">
        <f>IF($B114="","",B114-IF(ROW()=2,IMPOSTAZIONI!$B$3,B113)+IF(C114="",0,C114))</f>
        <v/>
      </c>
      <c r="F114" s="18">
        <f>IF($B114="","",E114/IF(ROW()=2,IMPOSTAZIONI!$B$3,B113))</f>
        <v/>
      </c>
      <c r="G114" s="17">
        <f>IF($B114="","",IF(ROW()=2,IMPOSTAZIONI!$B$3,B113)*IMPOSTAZIONI!$B$4)</f>
        <v/>
      </c>
      <c r="H114" s="17">
        <f>IF($B114="","",G114+MIN(0,IF(D114="",E114,MIN(E114,D114-IF(ROW()=2,IMPOSTAZIONI!$B$3,B113)))))</f>
        <v/>
      </c>
      <c r="I114" s="17">
        <f>IF($B114="","",IF(D114="",B114,MIN(B114,D114))-IMPOSTAZIONI!$B$10)</f>
        <v/>
      </c>
      <c r="J114" s="17">
        <f>IF($B114="","",B114-IMPOSTAZIONI!$B$3)</f>
        <v/>
      </c>
      <c r="K114" s="19">
        <f>IF($B114="","",IF(OR(H114&lt;=0,I114&lt;=0),"VIOLAZIONE",IF(OR(H114&lt;IF(ROW()=2,IMPOSTAZIONI!$B$3,B113)*0.01,I114&lt;IMPOSTAZIONI!$B$3*0.02),"ATTENZIONE","OK")))</f>
        <v/>
      </c>
    </row>
    <row r="115">
      <c r="A115" s="20" t="n"/>
      <c r="B115" s="21" t="n"/>
      <c r="C115" s="21" t="n"/>
      <c r="D115" s="16" t="n"/>
      <c r="E115" s="17">
        <f>IF($B115="","",B115-IF(ROW()=2,IMPOSTAZIONI!$B$3,B114)+IF(C115="",0,C115))</f>
        <v/>
      </c>
      <c r="F115" s="18">
        <f>IF($B115="","",E115/IF(ROW()=2,IMPOSTAZIONI!$B$3,B114))</f>
        <v/>
      </c>
      <c r="G115" s="17">
        <f>IF($B115="","",IF(ROW()=2,IMPOSTAZIONI!$B$3,B114)*IMPOSTAZIONI!$B$4)</f>
        <v/>
      </c>
      <c r="H115" s="17">
        <f>IF($B115="","",G115+MIN(0,IF(D115="",E115,MIN(E115,D115-IF(ROW()=2,IMPOSTAZIONI!$B$3,B114)))))</f>
        <v/>
      </c>
      <c r="I115" s="17">
        <f>IF($B115="","",IF(D115="",B115,MIN(B115,D115))-IMPOSTAZIONI!$B$10)</f>
        <v/>
      </c>
      <c r="J115" s="17">
        <f>IF($B115="","",B115-IMPOSTAZIONI!$B$3)</f>
        <v/>
      </c>
      <c r="K115" s="19">
        <f>IF($B115="","",IF(OR(H115&lt;=0,I115&lt;=0),"VIOLAZIONE",IF(OR(H115&lt;IF(ROW()=2,IMPOSTAZIONI!$B$3,B114)*0.01,I115&lt;IMPOSTAZIONI!$B$3*0.02),"ATTENZIONE","OK")))</f>
        <v/>
      </c>
    </row>
    <row r="116">
      <c r="A116" s="20" t="n"/>
      <c r="B116" s="21" t="n"/>
      <c r="C116" s="21" t="n"/>
      <c r="D116" s="16" t="n"/>
      <c r="E116" s="17">
        <f>IF($B116="","",B116-IF(ROW()=2,IMPOSTAZIONI!$B$3,B115)+IF(C116="",0,C116))</f>
        <v/>
      </c>
      <c r="F116" s="18">
        <f>IF($B116="","",E116/IF(ROW()=2,IMPOSTAZIONI!$B$3,B115))</f>
        <v/>
      </c>
      <c r="G116" s="17">
        <f>IF($B116="","",IF(ROW()=2,IMPOSTAZIONI!$B$3,B115)*IMPOSTAZIONI!$B$4)</f>
        <v/>
      </c>
      <c r="H116" s="17">
        <f>IF($B116="","",G116+MIN(0,IF(D116="",E116,MIN(E116,D116-IF(ROW()=2,IMPOSTAZIONI!$B$3,B115)))))</f>
        <v/>
      </c>
      <c r="I116" s="17">
        <f>IF($B116="","",IF(D116="",B116,MIN(B116,D116))-IMPOSTAZIONI!$B$10)</f>
        <v/>
      </c>
      <c r="J116" s="17">
        <f>IF($B116="","",B116-IMPOSTAZIONI!$B$3)</f>
        <v/>
      </c>
      <c r="K116" s="19">
        <f>IF($B116="","",IF(OR(H116&lt;=0,I116&lt;=0),"VIOLAZIONE",IF(OR(H116&lt;IF(ROW()=2,IMPOSTAZIONI!$B$3,B115)*0.01,I116&lt;IMPOSTAZIONI!$B$3*0.02),"ATTENZIONE","OK")))</f>
        <v/>
      </c>
    </row>
    <row r="117">
      <c r="A117" s="20" t="n"/>
      <c r="B117" s="21" t="n"/>
      <c r="C117" s="21" t="n"/>
      <c r="D117" s="16" t="n"/>
      <c r="E117" s="17">
        <f>IF($B117="","",B117-IF(ROW()=2,IMPOSTAZIONI!$B$3,B116)+IF(C117="",0,C117))</f>
        <v/>
      </c>
      <c r="F117" s="18">
        <f>IF($B117="","",E117/IF(ROW()=2,IMPOSTAZIONI!$B$3,B116))</f>
        <v/>
      </c>
      <c r="G117" s="17">
        <f>IF($B117="","",IF(ROW()=2,IMPOSTAZIONI!$B$3,B116)*IMPOSTAZIONI!$B$4)</f>
        <v/>
      </c>
      <c r="H117" s="17">
        <f>IF($B117="","",G117+MIN(0,IF(D117="",E117,MIN(E117,D117-IF(ROW()=2,IMPOSTAZIONI!$B$3,B116)))))</f>
        <v/>
      </c>
      <c r="I117" s="17">
        <f>IF($B117="","",IF(D117="",B117,MIN(B117,D117))-IMPOSTAZIONI!$B$10)</f>
        <v/>
      </c>
      <c r="J117" s="17">
        <f>IF($B117="","",B117-IMPOSTAZIONI!$B$3)</f>
        <v/>
      </c>
      <c r="K117" s="19">
        <f>IF($B117="","",IF(OR(H117&lt;=0,I117&lt;=0),"VIOLAZIONE",IF(OR(H117&lt;IF(ROW()=2,IMPOSTAZIONI!$B$3,B116)*0.01,I117&lt;IMPOSTAZIONI!$B$3*0.02),"ATTENZIONE","OK")))</f>
        <v/>
      </c>
    </row>
    <row r="118">
      <c r="A118" s="20" t="n"/>
      <c r="B118" s="21" t="n"/>
      <c r="C118" s="21" t="n"/>
      <c r="D118" s="16" t="n"/>
      <c r="E118" s="17">
        <f>IF($B118="","",B118-IF(ROW()=2,IMPOSTAZIONI!$B$3,B117)+IF(C118="",0,C118))</f>
        <v/>
      </c>
      <c r="F118" s="18">
        <f>IF($B118="","",E118/IF(ROW()=2,IMPOSTAZIONI!$B$3,B117))</f>
        <v/>
      </c>
      <c r="G118" s="17">
        <f>IF($B118="","",IF(ROW()=2,IMPOSTAZIONI!$B$3,B117)*IMPOSTAZIONI!$B$4)</f>
        <v/>
      </c>
      <c r="H118" s="17">
        <f>IF($B118="","",G118+MIN(0,IF(D118="",E118,MIN(E118,D118-IF(ROW()=2,IMPOSTAZIONI!$B$3,B117)))))</f>
        <v/>
      </c>
      <c r="I118" s="17">
        <f>IF($B118="","",IF(D118="",B118,MIN(B118,D118))-IMPOSTAZIONI!$B$10)</f>
        <v/>
      </c>
      <c r="J118" s="17">
        <f>IF($B118="","",B118-IMPOSTAZIONI!$B$3)</f>
        <v/>
      </c>
      <c r="K118" s="19">
        <f>IF($B118="","",IF(OR(H118&lt;=0,I118&lt;=0),"VIOLAZIONE",IF(OR(H118&lt;IF(ROW()=2,IMPOSTAZIONI!$B$3,B117)*0.01,I118&lt;IMPOSTAZIONI!$B$3*0.02),"ATTENZIONE","OK")))</f>
        <v/>
      </c>
    </row>
    <row r="119">
      <c r="A119" s="20" t="n"/>
      <c r="B119" s="21" t="n"/>
      <c r="C119" s="21" t="n"/>
      <c r="D119" s="16" t="n"/>
      <c r="E119" s="17">
        <f>IF($B119="","",B119-IF(ROW()=2,IMPOSTAZIONI!$B$3,B118)+IF(C119="",0,C119))</f>
        <v/>
      </c>
      <c r="F119" s="18">
        <f>IF($B119="","",E119/IF(ROW()=2,IMPOSTAZIONI!$B$3,B118))</f>
        <v/>
      </c>
      <c r="G119" s="17">
        <f>IF($B119="","",IF(ROW()=2,IMPOSTAZIONI!$B$3,B118)*IMPOSTAZIONI!$B$4)</f>
        <v/>
      </c>
      <c r="H119" s="17">
        <f>IF($B119="","",G119+MIN(0,IF(D119="",E119,MIN(E119,D119-IF(ROW()=2,IMPOSTAZIONI!$B$3,B118)))))</f>
        <v/>
      </c>
      <c r="I119" s="17">
        <f>IF($B119="","",IF(D119="",B119,MIN(B119,D119))-IMPOSTAZIONI!$B$10)</f>
        <v/>
      </c>
      <c r="J119" s="17">
        <f>IF($B119="","",B119-IMPOSTAZIONI!$B$3)</f>
        <v/>
      </c>
      <c r="K119" s="19">
        <f>IF($B119="","",IF(OR(H119&lt;=0,I119&lt;=0),"VIOLAZIONE",IF(OR(H119&lt;IF(ROW()=2,IMPOSTAZIONI!$B$3,B118)*0.01,I119&lt;IMPOSTAZIONI!$B$3*0.02),"ATTENZIONE","OK")))</f>
        <v/>
      </c>
    </row>
    <row r="120">
      <c r="A120" s="20" t="n"/>
      <c r="B120" s="21" t="n"/>
      <c r="C120" s="21" t="n"/>
      <c r="D120" s="16" t="n"/>
      <c r="E120" s="17">
        <f>IF($B120="","",B120-IF(ROW()=2,IMPOSTAZIONI!$B$3,B119)+IF(C120="",0,C120))</f>
        <v/>
      </c>
      <c r="F120" s="18">
        <f>IF($B120="","",E120/IF(ROW()=2,IMPOSTAZIONI!$B$3,B119))</f>
        <v/>
      </c>
      <c r="G120" s="17">
        <f>IF($B120="","",IF(ROW()=2,IMPOSTAZIONI!$B$3,B119)*IMPOSTAZIONI!$B$4)</f>
        <v/>
      </c>
      <c r="H120" s="17">
        <f>IF($B120="","",G120+MIN(0,IF(D120="",E120,MIN(E120,D120-IF(ROW()=2,IMPOSTAZIONI!$B$3,B119)))))</f>
        <v/>
      </c>
      <c r="I120" s="17">
        <f>IF($B120="","",IF(D120="",B120,MIN(B120,D120))-IMPOSTAZIONI!$B$10)</f>
        <v/>
      </c>
      <c r="J120" s="17">
        <f>IF($B120="","",B120-IMPOSTAZIONI!$B$3)</f>
        <v/>
      </c>
      <c r="K120" s="19">
        <f>IF($B120="","",IF(OR(H120&lt;=0,I120&lt;=0),"VIOLAZIONE",IF(OR(H120&lt;IF(ROW()=2,IMPOSTAZIONI!$B$3,B119)*0.01,I120&lt;IMPOSTAZIONI!$B$3*0.02),"ATTENZIONE","OK")))</f>
        <v/>
      </c>
    </row>
    <row r="121">
      <c r="A121" s="20" t="n"/>
      <c r="B121" s="21" t="n"/>
      <c r="C121" s="21" t="n"/>
      <c r="D121" s="16" t="n"/>
      <c r="E121" s="17">
        <f>IF($B121="","",B121-IF(ROW()=2,IMPOSTAZIONI!$B$3,B120)+IF(C121="",0,C121))</f>
        <v/>
      </c>
      <c r="F121" s="18">
        <f>IF($B121="","",E121/IF(ROW()=2,IMPOSTAZIONI!$B$3,B120))</f>
        <v/>
      </c>
      <c r="G121" s="17">
        <f>IF($B121="","",IF(ROW()=2,IMPOSTAZIONI!$B$3,B120)*IMPOSTAZIONI!$B$4)</f>
        <v/>
      </c>
      <c r="H121" s="17">
        <f>IF($B121="","",G121+MIN(0,IF(D121="",E121,MIN(E121,D121-IF(ROW()=2,IMPOSTAZIONI!$B$3,B120)))))</f>
        <v/>
      </c>
      <c r="I121" s="17">
        <f>IF($B121="","",IF(D121="",B121,MIN(B121,D121))-IMPOSTAZIONI!$B$10)</f>
        <v/>
      </c>
      <c r="J121" s="17">
        <f>IF($B121="","",B121-IMPOSTAZIONI!$B$3)</f>
        <v/>
      </c>
      <c r="K121" s="19">
        <f>IF($B121="","",IF(OR(H121&lt;=0,I121&lt;=0),"VIOLAZIONE",IF(OR(H121&lt;IF(ROW()=2,IMPOSTAZIONI!$B$3,B120)*0.01,I121&lt;IMPOSTAZIONI!$B$3*0.02),"ATTENZIONE","OK")))</f>
        <v/>
      </c>
    </row>
    <row r="122">
      <c r="A122" s="20" t="n"/>
      <c r="B122" s="21" t="n"/>
      <c r="C122" s="21" t="n"/>
      <c r="D122" s="16" t="n"/>
      <c r="E122" s="17">
        <f>IF($B122="","",B122-IF(ROW()=2,IMPOSTAZIONI!$B$3,B121)+IF(C122="",0,C122))</f>
        <v/>
      </c>
      <c r="F122" s="18">
        <f>IF($B122="","",E122/IF(ROW()=2,IMPOSTAZIONI!$B$3,B121))</f>
        <v/>
      </c>
      <c r="G122" s="17">
        <f>IF($B122="","",IF(ROW()=2,IMPOSTAZIONI!$B$3,B121)*IMPOSTAZIONI!$B$4)</f>
        <v/>
      </c>
      <c r="H122" s="17">
        <f>IF($B122="","",G122+MIN(0,IF(D122="",E122,MIN(E122,D122-IF(ROW()=2,IMPOSTAZIONI!$B$3,B121)))))</f>
        <v/>
      </c>
      <c r="I122" s="17">
        <f>IF($B122="","",IF(D122="",B122,MIN(B122,D122))-IMPOSTAZIONI!$B$10)</f>
        <v/>
      </c>
      <c r="J122" s="17">
        <f>IF($B122="","",B122-IMPOSTAZIONI!$B$3)</f>
        <v/>
      </c>
      <c r="K122" s="19">
        <f>IF($B122="","",IF(OR(H122&lt;=0,I122&lt;=0),"VIOLAZIONE",IF(OR(H122&lt;IF(ROW()=2,IMPOSTAZIONI!$B$3,B121)*0.01,I122&lt;IMPOSTAZIONI!$B$3*0.02),"ATTENZIONE","OK")))</f>
        <v/>
      </c>
    </row>
    <row r="123">
      <c r="A123" s="20" t="n"/>
      <c r="B123" s="21" t="n"/>
      <c r="C123" s="21" t="n"/>
      <c r="D123" s="16" t="n"/>
      <c r="E123" s="17">
        <f>IF($B123="","",B123-IF(ROW()=2,IMPOSTAZIONI!$B$3,B122)+IF(C123="",0,C123))</f>
        <v/>
      </c>
      <c r="F123" s="18">
        <f>IF($B123="","",E123/IF(ROW()=2,IMPOSTAZIONI!$B$3,B122))</f>
        <v/>
      </c>
      <c r="G123" s="17">
        <f>IF($B123="","",IF(ROW()=2,IMPOSTAZIONI!$B$3,B122)*IMPOSTAZIONI!$B$4)</f>
        <v/>
      </c>
      <c r="H123" s="17">
        <f>IF($B123="","",G123+MIN(0,IF(D123="",E123,MIN(E123,D123-IF(ROW()=2,IMPOSTAZIONI!$B$3,B122)))))</f>
        <v/>
      </c>
      <c r="I123" s="17">
        <f>IF($B123="","",IF(D123="",B123,MIN(B123,D123))-IMPOSTAZIONI!$B$10)</f>
        <v/>
      </c>
      <c r="J123" s="17">
        <f>IF($B123="","",B123-IMPOSTAZIONI!$B$3)</f>
        <v/>
      </c>
      <c r="K123" s="19">
        <f>IF($B123="","",IF(OR(H123&lt;=0,I123&lt;=0),"VIOLAZIONE",IF(OR(H123&lt;IF(ROW()=2,IMPOSTAZIONI!$B$3,B122)*0.01,I123&lt;IMPOSTAZIONI!$B$3*0.02),"ATTENZIONE","OK")))</f>
        <v/>
      </c>
    </row>
    <row r="124">
      <c r="A124" s="20" t="n"/>
      <c r="B124" s="21" t="n"/>
      <c r="C124" s="21" t="n"/>
      <c r="D124" s="16" t="n"/>
      <c r="E124" s="17">
        <f>IF($B124="","",B124-IF(ROW()=2,IMPOSTAZIONI!$B$3,B123)+IF(C124="",0,C124))</f>
        <v/>
      </c>
      <c r="F124" s="18">
        <f>IF($B124="","",E124/IF(ROW()=2,IMPOSTAZIONI!$B$3,B123))</f>
        <v/>
      </c>
      <c r="G124" s="17">
        <f>IF($B124="","",IF(ROW()=2,IMPOSTAZIONI!$B$3,B123)*IMPOSTAZIONI!$B$4)</f>
        <v/>
      </c>
      <c r="H124" s="17">
        <f>IF($B124="","",G124+MIN(0,IF(D124="",E124,MIN(E124,D124-IF(ROW()=2,IMPOSTAZIONI!$B$3,B123)))))</f>
        <v/>
      </c>
      <c r="I124" s="17">
        <f>IF($B124="","",IF(D124="",B124,MIN(B124,D124))-IMPOSTAZIONI!$B$10)</f>
        <v/>
      </c>
      <c r="J124" s="17">
        <f>IF($B124="","",B124-IMPOSTAZIONI!$B$3)</f>
        <v/>
      </c>
      <c r="K124" s="19">
        <f>IF($B124="","",IF(OR(H124&lt;=0,I124&lt;=0),"VIOLAZIONE",IF(OR(H124&lt;IF(ROW()=2,IMPOSTAZIONI!$B$3,B123)*0.01,I124&lt;IMPOSTAZIONI!$B$3*0.02),"ATTENZIONE","OK")))</f>
        <v/>
      </c>
    </row>
    <row r="125">
      <c r="A125" s="20" t="n"/>
      <c r="B125" s="21" t="n"/>
      <c r="C125" s="21" t="n"/>
      <c r="D125" s="16" t="n"/>
      <c r="E125" s="17">
        <f>IF($B125="","",B125-IF(ROW()=2,IMPOSTAZIONI!$B$3,B124)+IF(C125="",0,C125))</f>
        <v/>
      </c>
      <c r="F125" s="18">
        <f>IF($B125="","",E125/IF(ROW()=2,IMPOSTAZIONI!$B$3,B124))</f>
        <v/>
      </c>
      <c r="G125" s="17">
        <f>IF($B125="","",IF(ROW()=2,IMPOSTAZIONI!$B$3,B124)*IMPOSTAZIONI!$B$4)</f>
        <v/>
      </c>
      <c r="H125" s="17">
        <f>IF($B125="","",G125+MIN(0,IF(D125="",E125,MIN(E125,D125-IF(ROW()=2,IMPOSTAZIONI!$B$3,B124)))))</f>
        <v/>
      </c>
      <c r="I125" s="17">
        <f>IF($B125="","",IF(D125="",B125,MIN(B125,D125))-IMPOSTAZIONI!$B$10)</f>
        <v/>
      </c>
      <c r="J125" s="17">
        <f>IF($B125="","",B125-IMPOSTAZIONI!$B$3)</f>
        <v/>
      </c>
      <c r="K125" s="19">
        <f>IF($B125="","",IF(OR(H125&lt;=0,I125&lt;=0),"VIOLAZIONE",IF(OR(H125&lt;IF(ROW()=2,IMPOSTAZIONI!$B$3,B124)*0.01,I125&lt;IMPOSTAZIONI!$B$3*0.02),"ATTENZIONE","OK")))</f>
        <v/>
      </c>
    </row>
    <row r="126">
      <c r="A126" s="20" t="n"/>
      <c r="B126" s="21" t="n"/>
      <c r="C126" s="21" t="n"/>
      <c r="D126" s="16" t="n"/>
      <c r="E126" s="17">
        <f>IF($B126="","",B126-IF(ROW()=2,IMPOSTAZIONI!$B$3,B125)+IF(C126="",0,C126))</f>
        <v/>
      </c>
      <c r="F126" s="18">
        <f>IF($B126="","",E126/IF(ROW()=2,IMPOSTAZIONI!$B$3,B125))</f>
        <v/>
      </c>
      <c r="G126" s="17">
        <f>IF($B126="","",IF(ROW()=2,IMPOSTAZIONI!$B$3,B125)*IMPOSTAZIONI!$B$4)</f>
        <v/>
      </c>
      <c r="H126" s="17">
        <f>IF($B126="","",G126+MIN(0,IF(D126="",E126,MIN(E126,D126-IF(ROW()=2,IMPOSTAZIONI!$B$3,B125)))))</f>
        <v/>
      </c>
      <c r="I126" s="17">
        <f>IF($B126="","",IF(D126="",B126,MIN(B126,D126))-IMPOSTAZIONI!$B$10)</f>
        <v/>
      </c>
      <c r="J126" s="17">
        <f>IF($B126="","",B126-IMPOSTAZIONI!$B$3)</f>
        <v/>
      </c>
      <c r="K126" s="19">
        <f>IF($B126="","",IF(OR(H126&lt;=0,I126&lt;=0),"VIOLAZIONE",IF(OR(H126&lt;IF(ROW()=2,IMPOSTAZIONI!$B$3,B125)*0.01,I126&lt;IMPOSTAZIONI!$B$3*0.02),"ATTENZIONE","OK")))</f>
        <v/>
      </c>
    </row>
    <row r="127">
      <c r="A127" s="20" t="n"/>
      <c r="B127" s="21" t="n"/>
      <c r="C127" s="21" t="n"/>
      <c r="D127" s="16" t="n"/>
      <c r="E127" s="17">
        <f>IF($B127="","",B127-IF(ROW()=2,IMPOSTAZIONI!$B$3,B126)+IF(C127="",0,C127))</f>
        <v/>
      </c>
      <c r="F127" s="18">
        <f>IF($B127="","",E127/IF(ROW()=2,IMPOSTAZIONI!$B$3,B126))</f>
        <v/>
      </c>
      <c r="G127" s="17">
        <f>IF($B127="","",IF(ROW()=2,IMPOSTAZIONI!$B$3,B126)*IMPOSTAZIONI!$B$4)</f>
        <v/>
      </c>
      <c r="H127" s="17">
        <f>IF($B127="","",G127+MIN(0,IF(D127="",E127,MIN(E127,D127-IF(ROW()=2,IMPOSTAZIONI!$B$3,B126)))))</f>
        <v/>
      </c>
      <c r="I127" s="17">
        <f>IF($B127="","",IF(D127="",B127,MIN(B127,D127))-IMPOSTAZIONI!$B$10)</f>
        <v/>
      </c>
      <c r="J127" s="17">
        <f>IF($B127="","",B127-IMPOSTAZIONI!$B$3)</f>
        <v/>
      </c>
      <c r="K127" s="19">
        <f>IF($B127="","",IF(OR(H127&lt;=0,I127&lt;=0),"VIOLAZIONE",IF(OR(H127&lt;IF(ROW()=2,IMPOSTAZIONI!$B$3,B126)*0.01,I127&lt;IMPOSTAZIONI!$B$3*0.02),"ATTENZIONE","OK")))</f>
        <v/>
      </c>
    </row>
    <row r="128">
      <c r="A128" s="20" t="n"/>
      <c r="B128" s="21" t="n"/>
      <c r="C128" s="21" t="n"/>
      <c r="D128" s="16" t="n"/>
      <c r="E128" s="17">
        <f>IF($B128="","",B128-IF(ROW()=2,IMPOSTAZIONI!$B$3,B127)+IF(C128="",0,C128))</f>
        <v/>
      </c>
      <c r="F128" s="18">
        <f>IF($B128="","",E128/IF(ROW()=2,IMPOSTAZIONI!$B$3,B127))</f>
        <v/>
      </c>
      <c r="G128" s="17">
        <f>IF($B128="","",IF(ROW()=2,IMPOSTAZIONI!$B$3,B127)*IMPOSTAZIONI!$B$4)</f>
        <v/>
      </c>
      <c r="H128" s="17">
        <f>IF($B128="","",G128+MIN(0,IF(D128="",E128,MIN(E128,D128-IF(ROW()=2,IMPOSTAZIONI!$B$3,B127)))))</f>
        <v/>
      </c>
      <c r="I128" s="17">
        <f>IF($B128="","",IF(D128="",B128,MIN(B128,D128))-IMPOSTAZIONI!$B$10)</f>
        <v/>
      </c>
      <c r="J128" s="17">
        <f>IF($B128="","",B128-IMPOSTAZIONI!$B$3)</f>
        <v/>
      </c>
      <c r="K128" s="19">
        <f>IF($B128="","",IF(OR(H128&lt;=0,I128&lt;=0),"VIOLAZIONE",IF(OR(H128&lt;IF(ROW()=2,IMPOSTAZIONI!$B$3,B127)*0.01,I128&lt;IMPOSTAZIONI!$B$3*0.02),"ATTENZIONE","OK")))</f>
        <v/>
      </c>
    </row>
    <row r="129">
      <c r="A129" s="20" t="n"/>
      <c r="B129" s="21" t="n"/>
      <c r="C129" s="21" t="n"/>
      <c r="D129" s="16" t="n"/>
      <c r="E129" s="17">
        <f>IF($B129="","",B129-IF(ROW()=2,IMPOSTAZIONI!$B$3,B128)+IF(C129="",0,C129))</f>
        <v/>
      </c>
      <c r="F129" s="18">
        <f>IF($B129="","",E129/IF(ROW()=2,IMPOSTAZIONI!$B$3,B128))</f>
        <v/>
      </c>
      <c r="G129" s="17">
        <f>IF($B129="","",IF(ROW()=2,IMPOSTAZIONI!$B$3,B128)*IMPOSTAZIONI!$B$4)</f>
        <v/>
      </c>
      <c r="H129" s="17">
        <f>IF($B129="","",G129+MIN(0,IF(D129="",E129,MIN(E129,D129-IF(ROW()=2,IMPOSTAZIONI!$B$3,B128)))))</f>
        <v/>
      </c>
      <c r="I129" s="17">
        <f>IF($B129="","",IF(D129="",B129,MIN(B129,D129))-IMPOSTAZIONI!$B$10)</f>
        <v/>
      </c>
      <c r="J129" s="17">
        <f>IF($B129="","",B129-IMPOSTAZIONI!$B$3)</f>
        <v/>
      </c>
      <c r="K129" s="19">
        <f>IF($B129="","",IF(OR(H129&lt;=0,I129&lt;=0),"VIOLAZIONE",IF(OR(H129&lt;IF(ROW()=2,IMPOSTAZIONI!$B$3,B128)*0.01,I129&lt;IMPOSTAZIONI!$B$3*0.02),"ATTENZIONE","OK")))</f>
        <v/>
      </c>
    </row>
    <row r="130">
      <c r="A130" s="20" t="n"/>
      <c r="B130" s="21" t="n"/>
      <c r="C130" s="21" t="n"/>
      <c r="D130" s="16" t="n"/>
      <c r="E130" s="17">
        <f>IF($B130="","",B130-IF(ROW()=2,IMPOSTAZIONI!$B$3,B129)+IF(C130="",0,C130))</f>
        <v/>
      </c>
      <c r="F130" s="18">
        <f>IF($B130="","",E130/IF(ROW()=2,IMPOSTAZIONI!$B$3,B129))</f>
        <v/>
      </c>
      <c r="G130" s="17">
        <f>IF($B130="","",IF(ROW()=2,IMPOSTAZIONI!$B$3,B129)*IMPOSTAZIONI!$B$4)</f>
        <v/>
      </c>
      <c r="H130" s="17">
        <f>IF($B130="","",G130+MIN(0,IF(D130="",E130,MIN(E130,D130-IF(ROW()=2,IMPOSTAZIONI!$B$3,B129)))))</f>
        <v/>
      </c>
      <c r="I130" s="17">
        <f>IF($B130="","",IF(D130="",B130,MIN(B130,D130))-IMPOSTAZIONI!$B$10)</f>
        <v/>
      </c>
      <c r="J130" s="17">
        <f>IF($B130="","",B130-IMPOSTAZIONI!$B$3)</f>
        <v/>
      </c>
      <c r="K130" s="19">
        <f>IF($B130="","",IF(OR(H130&lt;=0,I130&lt;=0),"VIOLAZIONE",IF(OR(H130&lt;IF(ROW()=2,IMPOSTAZIONI!$B$3,B129)*0.01,I130&lt;IMPOSTAZIONI!$B$3*0.02),"ATTENZIONE","OK")))</f>
        <v/>
      </c>
    </row>
    <row r="131">
      <c r="A131" s="20" t="n"/>
      <c r="B131" s="21" t="n"/>
      <c r="C131" s="21" t="n"/>
      <c r="D131" s="16" t="n"/>
      <c r="E131" s="17">
        <f>IF($B131="","",B131-IF(ROW()=2,IMPOSTAZIONI!$B$3,B130)+IF(C131="",0,C131))</f>
        <v/>
      </c>
      <c r="F131" s="18">
        <f>IF($B131="","",E131/IF(ROW()=2,IMPOSTAZIONI!$B$3,B130))</f>
        <v/>
      </c>
      <c r="G131" s="17">
        <f>IF($B131="","",IF(ROW()=2,IMPOSTAZIONI!$B$3,B130)*IMPOSTAZIONI!$B$4)</f>
        <v/>
      </c>
      <c r="H131" s="17">
        <f>IF($B131="","",G131+MIN(0,IF(D131="",E131,MIN(E131,D131-IF(ROW()=2,IMPOSTAZIONI!$B$3,B130)))))</f>
        <v/>
      </c>
      <c r="I131" s="17">
        <f>IF($B131="","",IF(D131="",B131,MIN(B131,D131))-IMPOSTAZIONI!$B$10)</f>
        <v/>
      </c>
      <c r="J131" s="17">
        <f>IF($B131="","",B131-IMPOSTAZIONI!$B$3)</f>
        <v/>
      </c>
      <c r="K131" s="19">
        <f>IF($B131="","",IF(OR(H131&lt;=0,I131&lt;=0),"VIOLAZIONE",IF(OR(H131&lt;IF(ROW()=2,IMPOSTAZIONI!$B$3,B130)*0.01,I131&lt;IMPOSTAZIONI!$B$3*0.02),"ATTENZIONE","OK")))</f>
        <v/>
      </c>
    </row>
    <row r="132">
      <c r="A132" s="20" t="n"/>
      <c r="B132" s="21" t="n"/>
      <c r="C132" s="21" t="n"/>
      <c r="D132" s="16" t="n"/>
      <c r="E132" s="17">
        <f>IF($B132="","",B132-IF(ROW()=2,IMPOSTAZIONI!$B$3,B131)+IF(C132="",0,C132))</f>
        <v/>
      </c>
      <c r="F132" s="18">
        <f>IF($B132="","",E132/IF(ROW()=2,IMPOSTAZIONI!$B$3,B131))</f>
        <v/>
      </c>
      <c r="G132" s="17">
        <f>IF($B132="","",IF(ROW()=2,IMPOSTAZIONI!$B$3,B131)*IMPOSTAZIONI!$B$4)</f>
        <v/>
      </c>
      <c r="H132" s="17">
        <f>IF($B132="","",G132+MIN(0,IF(D132="",E132,MIN(E132,D132-IF(ROW()=2,IMPOSTAZIONI!$B$3,B131)))))</f>
        <v/>
      </c>
      <c r="I132" s="17">
        <f>IF($B132="","",IF(D132="",B132,MIN(B132,D132))-IMPOSTAZIONI!$B$10)</f>
        <v/>
      </c>
      <c r="J132" s="17">
        <f>IF($B132="","",B132-IMPOSTAZIONI!$B$3)</f>
        <v/>
      </c>
      <c r="K132" s="19">
        <f>IF($B132="","",IF(OR(H132&lt;=0,I132&lt;=0),"VIOLAZIONE",IF(OR(H132&lt;IF(ROW()=2,IMPOSTAZIONI!$B$3,B131)*0.01,I132&lt;IMPOSTAZIONI!$B$3*0.02),"ATTENZIONE","OK")))</f>
        <v/>
      </c>
    </row>
    <row r="133">
      <c r="A133" s="20" t="n"/>
      <c r="B133" s="21" t="n"/>
      <c r="C133" s="21" t="n"/>
      <c r="D133" s="16" t="n"/>
      <c r="E133" s="17">
        <f>IF($B133="","",B133-IF(ROW()=2,IMPOSTAZIONI!$B$3,B132)+IF(C133="",0,C133))</f>
        <v/>
      </c>
      <c r="F133" s="18">
        <f>IF($B133="","",E133/IF(ROW()=2,IMPOSTAZIONI!$B$3,B132))</f>
        <v/>
      </c>
      <c r="G133" s="17">
        <f>IF($B133="","",IF(ROW()=2,IMPOSTAZIONI!$B$3,B132)*IMPOSTAZIONI!$B$4)</f>
        <v/>
      </c>
      <c r="H133" s="17">
        <f>IF($B133="","",G133+MIN(0,IF(D133="",E133,MIN(E133,D133-IF(ROW()=2,IMPOSTAZIONI!$B$3,B132)))))</f>
        <v/>
      </c>
      <c r="I133" s="17">
        <f>IF($B133="","",IF(D133="",B133,MIN(B133,D133))-IMPOSTAZIONI!$B$10)</f>
        <v/>
      </c>
      <c r="J133" s="17">
        <f>IF($B133="","",B133-IMPOSTAZIONI!$B$3)</f>
        <v/>
      </c>
      <c r="K133" s="19">
        <f>IF($B133="","",IF(OR(H133&lt;=0,I133&lt;=0),"VIOLAZIONE",IF(OR(H133&lt;IF(ROW()=2,IMPOSTAZIONI!$B$3,B132)*0.01,I133&lt;IMPOSTAZIONI!$B$3*0.02),"ATTENZIONE","OK")))</f>
        <v/>
      </c>
    </row>
    <row r="134">
      <c r="A134" s="20" t="n"/>
      <c r="B134" s="21" t="n"/>
      <c r="C134" s="21" t="n"/>
      <c r="D134" s="16" t="n"/>
      <c r="E134" s="17">
        <f>IF($B134="","",B134-IF(ROW()=2,IMPOSTAZIONI!$B$3,B133)+IF(C134="",0,C134))</f>
        <v/>
      </c>
      <c r="F134" s="18">
        <f>IF($B134="","",E134/IF(ROW()=2,IMPOSTAZIONI!$B$3,B133))</f>
        <v/>
      </c>
      <c r="G134" s="17">
        <f>IF($B134="","",IF(ROW()=2,IMPOSTAZIONI!$B$3,B133)*IMPOSTAZIONI!$B$4)</f>
        <v/>
      </c>
      <c r="H134" s="17">
        <f>IF($B134="","",G134+MIN(0,IF(D134="",E134,MIN(E134,D134-IF(ROW()=2,IMPOSTAZIONI!$B$3,B133)))))</f>
        <v/>
      </c>
      <c r="I134" s="17">
        <f>IF($B134="","",IF(D134="",B134,MIN(B134,D134))-IMPOSTAZIONI!$B$10)</f>
        <v/>
      </c>
      <c r="J134" s="17">
        <f>IF($B134="","",B134-IMPOSTAZIONI!$B$3)</f>
        <v/>
      </c>
      <c r="K134" s="19">
        <f>IF($B134="","",IF(OR(H134&lt;=0,I134&lt;=0),"VIOLAZIONE",IF(OR(H134&lt;IF(ROW()=2,IMPOSTAZIONI!$B$3,B133)*0.01,I134&lt;IMPOSTAZIONI!$B$3*0.02),"ATTENZIONE","OK")))</f>
        <v/>
      </c>
    </row>
    <row r="135">
      <c r="A135" s="20" t="n"/>
      <c r="B135" s="21" t="n"/>
      <c r="C135" s="21" t="n"/>
      <c r="D135" s="16" t="n"/>
      <c r="E135" s="17">
        <f>IF($B135="","",B135-IF(ROW()=2,IMPOSTAZIONI!$B$3,B134)+IF(C135="",0,C135))</f>
        <v/>
      </c>
      <c r="F135" s="18">
        <f>IF($B135="","",E135/IF(ROW()=2,IMPOSTAZIONI!$B$3,B134))</f>
        <v/>
      </c>
      <c r="G135" s="17">
        <f>IF($B135="","",IF(ROW()=2,IMPOSTAZIONI!$B$3,B134)*IMPOSTAZIONI!$B$4)</f>
        <v/>
      </c>
      <c r="H135" s="17">
        <f>IF($B135="","",G135+MIN(0,IF(D135="",E135,MIN(E135,D135-IF(ROW()=2,IMPOSTAZIONI!$B$3,B134)))))</f>
        <v/>
      </c>
      <c r="I135" s="17">
        <f>IF($B135="","",IF(D135="",B135,MIN(B135,D135))-IMPOSTAZIONI!$B$10)</f>
        <v/>
      </c>
      <c r="J135" s="17">
        <f>IF($B135="","",B135-IMPOSTAZIONI!$B$3)</f>
        <v/>
      </c>
      <c r="K135" s="19">
        <f>IF($B135="","",IF(OR(H135&lt;=0,I135&lt;=0),"VIOLAZIONE",IF(OR(H135&lt;IF(ROW()=2,IMPOSTAZIONI!$B$3,B134)*0.01,I135&lt;IMPOSTAZIONI!$B$3*0.02),"ATTENZIONE","OK")))</f>
        <v/>
      </c>
    </row>
    <row r="136">
      <c r="A136" s="20" t="n"/>
      <c r="B136" s="21" t="n"/>
      <c r="C136" s="21" t="n"/>
      <c r="D136" s="16" t="n"/>
      <c r="E136" s="17">
        <f>IF($B136="","",B136-IF(ROW()=2,IMPOSTAZIONI!$B$3,B135)+IF(C136="",0,C136))</f>
        <v/>
      </c>
      <c r="F136" s="18">
        <f>IF($B136="","",E136/IF(ROW()=2,IMPOSTAZIONI!$B$3,B135))</f>
        <v/>
      </c>
      <c r="G136" s="17">
        <f>IF($B136="","",IF(ROW()=2,IMPOSTAZIONI!$B$3,B135)*IMPOSTAZIONI!$B$4)</f>
        <v/>
      </c>
      <c r="H136" s="17">
        <f>IF($B136="","",G136+MIN(0,IF(D136="",E136,MIN(E136,D136-IF(ROW()=2,IMPOSTAZIONI!$B$3,B135)))))</f>
        <v/>
      </c>
      <c r="I136" s="17">
        <f>IF($B136="","",IF(D136="",B136,MIN(B136,D136))-IMPOSTAZIONI!$B$10)</f>
        <v/>
      </c>
      <c r="J136" s="17">
        <f>IF($B136="","",B136-IMPOSTAZIONI!$B$3)</f>
        <v/>
      </c>
      <c r="K136" s="19">
        <f>IF($B136="","",IF(OR(H136&lt;=0,I136&lt;=0),"VIOLAZIONE",IF(OR(H136&lt;IF(ROW()=2,IMPOSTAZIONI!$B$3,B135)*0.01,I136&lt;IMPOSTAZIONI!$B$3*0.02),"ATTENZIONE","OK")))</f>
        <v/>
      </c>
    </row>
    <row r="137">
      <c r="A137" s="20" t="n"/>
      <c r="B137" s="21" t="n"/>
      <c r="C137" s="21" t="n"/>
      <c r="D137" s="16" t="n"/>
      <c r="E137" s="17">
        <f>IF($B137="","",B137-IF(ROW()=2,IMPOSTAZIONI!$B$3,B136)+IF(C137="",0,C137))</f>
        <v/>
      </c>
      <c r="F137" s="18">
        <f>IF($B137="","",E137/IF(ROW()=2,IMPOSTAZIONI!$B$3,B136))</f>
        <v/>
      </c>
      <c r="G137" s="17">
        <f>IF($B137="","",IF(ROW()=2,IMPOSTAZIONI!$B$3,B136)*IMPOSTAZIONI!$B$4)</f>
        <v/>
      </c>
      <c r="H137" s="17">
        <f>IF($B137="","",G137+MIN(0,IF(D137="",E137,MIN(E137,D137-IF(ROW()=2,IMPOSTAZIONI!$B$3,B136)))))</f>
        <v/>
      </c>
      <c r="I137" s="17">
        <f>IF($B137="","",IF(D137="",B137,MIN(B137,D137))-IMPOSTAZIONI!$B$10)</f>
        <v/>
      </c>
      <c r="J137" s="17">
        <f>IF($B137="","",B137-IMPOSTAZIONI!$B$3)</f>
        <v/>
      </c>
      <c r="K137" s="19">
        <f>IF($B137="","",IF(OR(H137&lt;=0,I137&lt;=0),"VIOLAZIONE",IF(OR(H137&lt;IF(ROW()=2,IMPOSTAZIONI!$B$3,B136)*0.01,I137&lt;IMPOSTAZIONI!$B$3*0.02),"ATTENZIONE","OK")))</f>
        <v/>
      </c>
    </row>
    <row r="138">
      <c r="A138" s="20" t="n"/>
      <c r="B138" s="21" t="n"/>
      <c r="C138" s="21" t="n"/>
      <c r="D138" s="16" t="n"/>
      <c r="E138" s="17">
        <f>IF($B138="","",B138-IF(ROW()=2,IMPOSTAZIONI!$B$3,B137)+IF(C138="",0,C138))</f>
        <v/>
      </c>
      <c r="F138" s="18">
        <f>IF($B138="","",E138/IF(ROW()=2,IMPOSTAZIONI!$B$3,B137))</f>
        <v/>
      </c>
      <c r="G138" s="17">
        <f>IF($B138="","",IF(ROW()=2,IMPOSTAZIONI!$B$3,B137)*IMPOSTAZIONI!$B$4)</f>
        <v/>
      </c>
      <c r="H138" s="17">
        <f>IF($B138="","",G138+MIN(0,IF(D138="",E138,MIN(E138,D138-IF(ROW()=2,IMPOSTAZIONI!$B$3,B137)))))</f>
        <v/>
      </c>
      <c r="I138" s="17">
        <f>IF($B138="","",IF(D138="",B138,MIN(B138,D138))-IMPOSTAZIONI!$B$10)</f>
        <v/>
      </c>
      <c r="J138" s="17">
        <f>IF($B138="","",B138-IMPOSTAZIONI!$B$3)</f>
        <v/>
      </c>
      <c r="K138" s="19">
        <f>IF($B138="","",IF(OR(H138&lt;=0,I138&lt;=0),"VIOLAZIONE",IF(OR(H138&lt;IF(ROW()=2,IMPOSTAZIONI!$B$3,B137)*0.01,I138&lt;IMPOSTAZIONI!$B$3*0.02),"ATTENZIONE","OK")))</f>
        <v/>
      </c>
    </row>
    <row r="139">
      <c r="A139" s="20" t="n"/>
      <c r="B139" s="21" t="n"/>
      <c r="C139" s="21" t="n"/>
      <c r="D139" s="16" t="n"/>
      <c r="E139" s="17">
        <f>IF($B139="","",B139-IF(ROW()=2,IMPOSTAZIONI!$B$3,B138)+IF(C139="",0,C139))</f>
        <v/>
      </c>
      <c r="F139" s="18">
        <f>IF($B139="","",E139/IF(ROW()=2,IMPOSTAZIONI!$B$3,B138))</f>
        <v/>
      </c>
      <c r="G139" s="17">
        <f>IF($B139="","",IF(ROW()=2,IMPOSTAZIONI!$B$3,B138)*IMPOSTAZIONI!$B$4)</f>
        <v/>
      </c>
      <c r="H139" s="17">
        <f>IF($B139="","",G139+MIN(0,IF(D139="",E139,MIN(E139,D139-IF(ROW()=2,IMPOSTAZIONI!$B$3,B138)))))</f>
        <v/>
      </c>
      <c r="I139" s="17">
        <f>IF($B139="","",IF(D139="",B139,MIN(B139,D139))-IMPOSTAZIONI!$B$10)</f>
        <v/>
      </c>
      <c r="J139" s="17">
        <f>IF($B139="","",B139-IMPOSTAZIONI!$B$3)</f>
        <v/>
      </c>
      <c r="K139" s="19">
        <f>IF($B139="","",IF(OR(H139&lt;=0,I139&lt;=0),"VIOLAZIONE",IF(OR(H139&lt;IF(ROW()=2,IMPOSTAZIONI!$B$3,B138)*0.01,I139&lt;IMPOSTAZIONI!$B$3*0.02),"ATTENZIONE","OK")))</f>
        <v/>
      </c>
    </row>
    <row r="140">
      <c r="A140" s="20" t="n"/>
      <c r="B140" s="21" t="n"/>
      <c r="C140" s="21" t="n"/>
      <c r="D140" s="16" t="n"/>
      <c r="E140" s="17">
        <f>IF($B140="","",B140-IF(ROW()=2,IMPOSTAZIONI!$B$3,B139)+IF(C140="",0,C140))</f>
        <v/>
      </c>
      <c r="F140" s="18">
        <f>IF($B140="","",E140/IF(ROW()=2,IMPOSTAZIONI!$B$3,B139))</f>
        <v/>
      </c>
      <c r="G140" s="17">
        <f>IF($B140="","",IF(ROW()=2,IMPOSTAZIONI!$B$3,B139)*IMPOSTAZIONI!$B$4)</f>
        <v/>
      </c>
      <c r="H140" s="17">
        <f>IF($B140="","",G140+MIN(0,IF(D140="",E140,MIN(E140,D140-IF(ROW()=2,IMPOSTAZIONI!$B$3,B139)))))</f>
        <v/>
      </c>
      <c r="I140" s="17">
        <f>IF($B140="","",IF(D140="",B140,MIN(B140,D140))-IMPOSTAZIONI!$B$10)</f>
        <v/>
      </c>
      <c r="J140" s="17">
        <f>IF($B140="","",B140-IMPOSTAZIONI!$B$3)</f>
        <v/>
      </c>
      <c r="K140" s="19">
        <f>IF($B140="","",IF(OR(H140&lt;=0,I140&lt;=0),"VIOLAZIONE",IF(OR(H140&lt;IF(ROW()=2,IMPOSTAZIONI!$B$3,B139)*0.01,I140&lt;IMPOSTAZIONI!$B$3*0.02),"ATTENZIONE","OK")))</f>
        <v/>
      </c>
    </row>
    <row r="141">
      <c r="A141" s="20" t="n"/>
      <c r="B141" s="21" t="n"/>
      <c r="C141" s="21" t="n"/>
      <c r="D141" s="16" t="n"/>
      <c r="E141" s="17">
        <f>IF($B141="","",B141-IF(ROW()=2,IMPOSTAZIONI!$B$3,B140)+IF(C141="",0,C141))</f>
        <v/>
      </c>
      <c r="F141" s="18">
        <f>IF($B141="","",E141/IF(ROW()=2,IMPOSTAZIONI!$B$3,B140))</f>
        <v/>
      </c>
      <c r="G141" s="17">
        <f>IF($B141="","",IF(ROW()=2,IMPOSTAZIONI!$B$3,B140)*IMPOSTAZIONI!$B$4)</f>
        <v/>
      </c>
      <c r="H141" s="17">
        <f>IF($B141="","",G141+MIN(0,IF(D141="",E141,MIN(E141,D141-IF(ROW()=2,IMPOSTAZIONI!$B$3,B140)))))</f>
        <v/>
      </c>
      <c r="I141" s="17">
        <f>IF($B141="","",IF(D141="",B141,MIN(B141,D141))-IMPOSTAZIONI!$B$10)</f>
        <v/>
      </c>
      <c r="J141" s="17">
        <f>IF($B141="","",B141-IMPOSTAZIONI!$B$3)</f>
        <v/>
      </c>
      <c r="K141" s="19">
        <f>IF($B141="","",IF(OR(H141&lt;=0,I141&lt;=0),"VIOLAZIONE",IF(OR(H141&lt;IF(ROW()=2,IMPOSTAZIONI!$B$3,B140)*0.01,I141&lt;IMPOSTAZIONI!$B$3*0.02),"ATTENZIONE","OK")))</f>
        <v/>
      </c>
    </row>
    <row r="142">
      <c r="A142" s="20" t="n"/>
      <c r="B142" s="21" t="n"/>
      <c r="C142" s="21" t="n"/>
      <c r="D142" s="16" t="n"/>
      <c r="E142" s="17">
        <f>IF($B142="","",B142-IF(ROW()=2,IMPOSTAZIONI!$B$3,B141)+IF(C142="",0,C142))</f>
        <v/>
      </c>
      <c r="F142" s="18">
        <f>IF($B142="","",E142/IF(ROW()=2,IMPOSTAZIONI!$B$3,B141))</f>
        <v/>
      </c>
      <c r="G142" s="17">
        <f>IF($B142="","",IF(ROW()=2,IMPOSTAZIONI!$B$3,B141)*IMPOSTAZIONI!$B$4)</f>
        <v/>
      </c>
      <c r="H142" s="17">
        <f>IF($B142="","",G142+MIN(0,IF(D142="",E142,MIN(E142,D142-IF(ROW()=2,IMPOSTAZIONI!$B$3,B141)))))</f>
        <v/>
      </c>
      <c r="I142" s="17">
        <f>IF($B142="","",IF(D142="",B142,MIN(B142,D142))-IMPOSTAZIONI!$B$10)</f>
        <v/>
      </c>
      <c r="J142" s="17">
        <f>IF($B142="","",B142-IMPOSTAZIONI!$B$3)</f>
        <v/>
      </c>
      <c r="K142" s="19">
        <f>IF($B142="","",IF(OR(H142&lt;=0,I142&lt;=0),"VIOLAZIONE",IF(OR(H142&lt;IF(ROW()=2,IMPOSTAZIONI!$B$3,B141)*0.01,I142&lt;IMPOSTAZIONI!$B$3*0.02),"ATTENZIONE","OK")))</f>
        <v/>
      </c>
    </row>
    <row r="143">
      <c r="A143" s="20" t="n"/>
      <c r="B143" s="21" t="n"/>
      <c r="C143" s="21" t="n"/>
      <c r="D143" s="16" t="n"/>
      <c r="E143" s="17">
        <f>IF($B143="","",B143-IF(ROW()=2,IMPOSTAZIONI!$B$3,B142)+IF(C143="",0,C143))</f>
        <v/>
      </c>
      <c r="F143" s="18">
        <f>IF($B143="","",E143/IF(ROW()=2,IMPOSTAZIONI!$B$3,B142))</f>
        <v/>
      </c>
      <c r="G143" s="17">
        <f>IF($B143="","",IF(ROW()=2,IMPOSTAZIONI!$B$3,B142)*IMPOSTAZIONI!$B$4)</f>
        <v/>
      </c>
      <c r="H143" s="17">
        <f>IF($B143="","",G143+MIN(0,IF(D143="",E143,MIN(E143,D143-IF(ROW()=2,IMPOSTAZIONI!$B$3,B142)))))</f>
        <v/>
      </c>
      <c r="I143" s="17">
        <f>IF($B143="","",IF(D143="",B143,MIN(B143,D143))-IMPOSTAZIONI!$B$10)</f>
        <v/>
      </c>
      <c r="J143" s="17">
        <f>IF($B143="","",B143-IMPOSTAZIONI!$B$3)</f>
        <v/>
      </c>
      <c r="K143" s="19">
        <f>IF($B143="","",IF(OR(H143&lt;=0,I143&lt;=0),"VIOLAZIONE",IF(OR(H143&lt;IF(ROW()=2,IMPOSTAZIONI!$B$3,B142)*0.01,I143&lt;IMPOSTAZIONI!$B$3*0.02),"ATTENZIONE","OK")))</f>
        <v/>
      </c>
    </row>
    <row r="144">
      <c r="A144" s="20" t="n"/>
      <c r="B144" s="21" t="n"/>
      <c r="C144" s="21" t="n"/>
      <c r="D144" s="16" t="n"/>
      <c r="E144" s="17">
        <f>IF($B144="","",B144-IF(ROW()=2,IMPOSTAZIONI!$B$3,B143)+IF(C144="",0,C144))</f>
        <v/>
      </c>
      <c r="F144" s="18">
        <f>IF($B144="","",E144/IF(ROW()=2,IMPOSTAZIONI!$B$3,B143))</f>
        <v/>
      </c>
      <c r="G144" s="17">
        <f>IF($B144="","",IF(ROW()=2,IMPOSTAZIONI!$B$3,B143)*IMPOSTAZIONI!$B$4)</f>
        <v/>
      </c>
      <c r="H144" s="17">
        <f>IF($B144="","",G144+MIN(0,IF(D144="",E144,MIN(E144,D144-IF(ROW()=2,IMPOSTAZIONI!$B$3,B143)))))</f>
        <v/>
      </c>
      <c r="I144" s="17">
        <f>IF($B144="","",IF(D144="",B144,MIN(B144,D144))-IMPOSTAZIONI!$B$10)</f>
        <v/>
      </c>
      <c r="J144" s="17">
        <f>IF($B144="","",B144-IMPOSTAZIONI!$B$3)</f>
        <v/>
      </c>
      <c r="K144" s="19">
        <f>IF($B144="","",IF(OR(H144&lt;=0,I144&lt;=0),"VIOLAZIONE",IF(OR(H144&lt;IF(ROW()=2,IMPOSTAZIONI!$B$3,B143)*0.01,I144&lt;IMPOSTAZIONI!$B$3*0.02),"ATTENZIONE","OK")))</f>
        <v/>
      </c>
    </row>
    <row r="145">
      <c r="A145" s="20" t="n"/>
      <c r="B145" s="21" t="n"/>
      <c r="C145" s="21" t="n"/>
      <c r="D145" s="16" t="n"/>
      <c r="E145" s="17">
        <f>IF($B145="","",B145-IF(ROW()=2,IMPOSTAZIONI!$B$3,B144)+IF(C145="",0,C145))</f>
        <v/>
      </c>
      <c r="F145" s="18">
        <f>IF($B145="","",E145/IF(ROW()=2,IMPOSTAZIONI!$B$3,B144))</f>
        <v/>
      </c>
      <c r="G145" s="17">
        <f>IF($B145="","",IF(ROW()=2,IMPOSTAZIONI!$B$3,B144)*IMPOSTAZIONI!$B$4)</f>
        <v/>
      </c>
      <c r="H145" s="17">
        <f>IF($B145="","",G145+MIN(0,IF(D145="",E145,MIN(E145,D145-IF(ROW()=2,IMPOSTAZIONI!$B$3,B144)))))</f>
        <v/>
      </c>
      <c r="I145" s="17">
        <f>IF($B145="","",IF(D145="",B145,MIN(B145,D145))-IMPOSTAZIONI!$B$10)</f>
        <v/>
      </c>
      <c r="J145" s="17">
        <f>IF($B145="","",B145-IMPOSTAZIONI!$B$3)</f>
        <v/>
      </c>
      <c r="K145" s="19">
        <f>IF($B145="","",IF(OR(H145&lt;=0,I145&lt;=0),"VIOLAZIONE",IF(OR(H145&lt;IF(ROW()=2,IMPOSTAZIONI!$B$3,B144)*0.01,I145&lt;IMPOSTAZIONI!$B$3*0.02),"ATTENZIONE","OK")))</f>
        <v/>
      </c>
    </row>
    <row r="146">
      <c r="A146" s="20" t="n"/>
      <c r="B146" s="21" t="n"/>
      <c r="C146" s="21" t="n"/>
      <c r="D146" s="16" t="n"/>
      <c r="E146" s="17">
        <f>IF($B146="","",B146-IF(ROW()=2,IMPOSTAZIONI!$B$3,B145)+IF(C146="",0,C146))</f>
        <v/>
      </c>
      <c r="F146" s="18">
        <f>IF($B146="","",E146/IF(ROW()=2,IMPOSTAZIONI!$B$3,B145))</f>
        <v/>
      </c>
      <c r="G146" s="17">
        <f>IF($B146="","",IF(ROW()=2,IMPOSTAZIONI!$B$3,B145)*IMPOSTAZIONI!$B$4)</f>
        <v/>
      </c>
      <c r="H146" s="17">
        <f>IF($B146="","",G146+MIN(0,IF(D146="",E146,MIN(E146,D146-IF(ROW()=2,IMPOSTAZIONI!$B$3,B145)))))</f>
        <v/>
      </c>
      <c r="I146" s="17">
        <f>IF($B146="","",IF(D146="",B146,MIN(B146,D146))-IMPOSTAZIONI!$B$10)</f>
        <v/>
      </c>
      <c r="J146" s="17">
        <f>IF($B146="","",B146-IMPOSTAZIONI!$B$3)</f>
        <v/>
      </c>
      <c r="K146" s="19">
        <f>IF($B146="","",IF(OR(H146&lt;=0,I146&lt;=0),"VIOLAZIONE",IF(OR(H146&lt;IF(ROW()=2,IMPOSTAZIONI!$B$3,B145)*0.01,I146&lt;IMPOSTAZIONI!$B$3*0.02),"ATTENZIONE","OK")))</f>
        <v/>
      </c>
    </row>
    <row r="147">
      <c r="A147" s="20" t="n"/>
      <c r="B147" s="21" t="n"/>
      <c r="C147" s="21" t="n"/>
      <c r="D147" s="16" t="n"/>
      <c r="E147" s="17">
        <f>IF($B147="","",B147-IF(ROW()=2,IMPOSTAZIONI!$B$3,B146)+IF(C147="",0,C147))</f>
        <v/>
      </c>
      <c r="F147" s="18">
        <f>IF($B147="","",E147/IF(ROW()=2,IMPOSTAZIONI!$B$3,B146))</f>
        <v/>
      </c>
      <c r="G147" s="17">
        <f>IF($B147="","",IF(ROW()=2,IMPOSTAZIONI!$B$3,B146)*IMPOSTAZIONI!$B$4)</f>
        <v/>
      </c>
      <c r="H147" s="17">
        <f>IF($B147="","",G147+MIN(0,IF(D147="",E147,MIN(E147,D147-IF(ROW()=2,IMPOSTAZIONI!$B$3,B146)))))</f>
        <v/>
      </c>
      <c r="I147" s="17">
        <f>IF($B147="","",IF(D147="",B147,MIN(B147,D147))-IMPOSTAZIONI!$B$10)</f>
        <v/>
      </c>
      <c r="J147" s="17">
        <f>IF($B147="","",B147-IMPOSTAZIONI!$B$3)</f>
        <v/>
      </c>
      <c r="K147" s="19">
        <f>IF($B147="","",IF(OR(H147&lt;=0,I147&lt;=0),"VIOLAZIONE",IF(OR(H147&lt;IF(ROW()=2,IMPOSTAZIONI!$B$3,B146)*0.01,I147&lt;IMPOSTAZIONI!$B$3*0.02),"ATTENZIONE","OK")))</f>
        <v/>
      </c>
    </row>
    <row r="148">
      <c r="A148" s="20" t="n"/>
      <c r="B148" s="21" t="n"/>
      <c r="C148" s="21" t="n"/>
      <c r="D148" s="16" t="n"/>
      <c r="E148" s="17">
        <f>IF($B148="","",B148-IF(ROW()=2,IMPOSTAZIONI!$B$3,B147)+IF(C148="",0,C148))</f>
        <v/>
      </c>
      <c r="F148" s="18">
        <f>IF($B148="","",E148/IF(ROW()=2,IMPOSTAZIONI!$B$3,B147))</f>
        <v/>
      </c>
      <c r="G148" s="17">
        <f>IF($B148="","",IF(ROW()=2,IMPOSTAZIONI!$B$3,B147)*IMPOSTAZIONI!$B$4)</f>
        <v/>
      </c>
      <c r="H148" s="17">
        <f>IF($B148="","",G148+MIN(0,IF(D148="",E148,MIN(E148,D148-IF(ROW()=2,IMPOSTAZIONI!$B$3,B147)))))</f>
        <v/>
      </c>
      <c r="I148" s="17">
        <f>IF($B148="","",IF(D148="",B148,MIN(B148,D148))-IMPOSTAZIONI!$B$10)</f>
        <v/>
      </c>
      <c r="J148" s="17">
        <f>IF($B148="","",B148-IMPOSTAZIONI!$B$3)</f>
        <v/>
      </c>
      <c r="K148" s="19">
        <f>IF($B148="","",IF(OR(H148&lt;=0,I148&lt;=0),"VIOLAZIONE",IF(OR(H148&lt;IF(ROW()=2,IMPOSTAZIONI!$B$3,B147)*0.01,I148&lt;IMPOSTAZIONI!$B$3*0.02),"ATTENZIONE","OK")))</f>
        <v/>
      </c>
    </row>
    <row r="149">
      <c r="A149" s="20" t="n"/>
      <c r="B149" s="21" t="n"/>
      <c r="C149" s="21" t="n"/>
      <c r="D149" s="16" t="n"/>
      <c r="E149" s="17">
        <f>IF($B149="","",B149-IF(ROW()=2,IMPOSTAZIONI!$B$3,B148)+IF(C149="",0,C149))</f>
        <v/>
      </c>
      <c r="F149" s="18">
        <f>IF($B149="","",E149/IF(ROW()=2,IMPOSTAZIONI!$B$3,B148))</f>
        <v/>
      </c>
      <c r="G149" s="17">
        <f>IF($B149="","",IF(ROW()=2,IMPOSTAZIONI!$B$3,B148)*IMPOSTAZIONI!$B$4)</f>
        <v/>
      </c>
      <c r="H149" s="17">
        <f>IF($B149="","",G149+MIN(0,IF(D149="",E149,MIN(E149,D149-IF(ROW()=2,IMPOSTAZIONI!$B$3,B148)))))</f>
        <v/>
      </c>
      <c r="I149" s="17">
        <f>IF($B149="","",IF(D149="",B149,MIN(B149,D149))-IMPOSTAZIONI!$B$10)</f>
        <v/>
      </c>
      <c r="J149" s="17">
        <f>IF($B149="","",B149-IMPOSTAZIONI!$B$3)</f>
        <v/>
      </c>
      <c r="K149" s="19">
        <f>IF($B149="","",IF(OR(H149&lt;=0,I149&lt;=0),"VIOLAZIONE",IF(OR(H149&lt;IF(ROW()=2,IMPOSTAZIONI!$B$3,B148)*0.01,I149&lt;IMPOSTAZIONI!$B$3*0.02),"ATTENZIONE","OK")))</f>
        <v/>
      </c>
    </row>
    <row r="150">
      <c r="A150" s="20" t="n"/>
      <c r="B150" s="21" t="n"/>
      <c r="C150" s="21" t="n"/>
      <c r="D150" s="16" t="n"/>
      <c r="E150" s="17">
        <f>IF($B150="","",B150-IF(ROW()=2,IMPOSTAZIONI!$B$3,B149)+IF(C150="",0,C150))</f>
        <v/>
      </c>
      <c r="F150" s="18">
        <f>IF($B150="","",E150/IF(ROW()=2,IMPOSTAZIONI!$B$3,B149))</f>
        <v/>
      </c>
      <c r="G150" s="17">
        <f>IF($B150="","",IF(ROW()=2,IMPOSTAZIONI!$B$3,B149)*IMPOSTAZIONI!$B$4)</f>
        <v/>
      </c>
      <c r="H150" s="17">
        <f>IF($B150="","",G150+MIN(0,IF(D150="",E150,MIN(E150,D150-IF(ROW()=2,IMPOSTAZIONI!$B$3,B149)))))</f>
        <v/>
      </c>
      <c r="I150" s="17">
        <f>IF($B150="","",IF(D150="",B150,MIN(B150,D150))-IMPOSTAZIONI!$B$10)</f>
        <v/>
      </c>
      <c r="J150" s="17">
        <f>IF($B150="","",B150-IMPOSTAZIONI!$B$3)</f>
        <v/>
      </c>
      <c r="K150" s="19">
        <f>IF($B150="","",IF(OR(H150&lt;=0,I150&lt;=0),"VIOLAZIONE",IF(OR(H150&lt;IF(ROW()=2,IMPOSTAZIONI!$B$3,B149)*0.01,I150&lt;IMPOSTAZIONI!$B$3*0.02),"ATTENZIONE","OK")))</f>
        <v/>
      </c>
    </row>
    <row r="151">
      <c r="A151" s="20" t="n"/>
      <c r="B151" s="21" t="n"/>
      <c r="C151" s="21" t="n"/>
      <c r="D151" s="16" t="n"/>
      <c r="E151" s="17">
        <f>IF($B151="","",B151-IF(ROW()=2,IMPOSTAZIONI!$B$3,B150)+IF(C151="",0,C151))</f>
        <v/>
      </c>
      <c r="F151" s="18">
        <f>IF($B151="","",E151/IF(ROW()=2,IMPOSTAZIONI!$B$3,B150))</f>
        <v/>
      </c>
      <c r="G151" s="17">
        <f>IF($B151="","",IF(ROW()=2,IMPOSTAZIONI!$B$3,B150)*IMPOSTAZIONI!$B$4)</f>
        <v/>
      </c>
      <c r="H151" s="17">
        <f>IF($B151="","",G151+MIN(0,IF(D151="",E151,MIN(E151,D151-IF(ROW()=2,IMPOSTAZIONI!$B$3,B150)))))</f>
        <v/>
      </c>
      <c r="I151" s="17">
        <f>IF($B151="","",IF(D151="",B151,MIN(B151,D151))-IMPOSTAZIONI!$B$10)</f>
        <v/>
      </c>
      <c r="J151" s="17">
        <f>IF($B151="","",B151-IMPOSTAZIONI!$B$3)</f>
        <v/>
      </c>
      <c r="K151" s="19">
        <f>IF($B151="","",IF(OR(H151&lt;=0,I151&lt;=0),"VIOLAZIONE",IF(OR(H151&lt;IF(ROW()=2,IMPOSTAZIONI!$B$3,B150)*0.01,I151&lt;IMPOSTAZIONI!$B$3*0.02),"ATTENZIONE","OK")))</f>
        <v/>
      </c>
    </row>
    <row r="152">
      <c r="A152" s="20" t="n"/>
      <c r="B152" s="21" t="n"/>
      <c r="C152" s="21" t="n"/>
      <c r="D152" s="16" t="n"/>
      <c r="E152" s="17">
        <f>IF($B152="","",B152-IF(ROW()=2,IMPOSTAZIONI!$B$3,B151)+IF(C152="",0,C152))</f>
        <v/>
      </c>
      <c r="F152" s="18">
        <f>IF($B152="","",E152/IF(ROW()=2,IMPOSTAZIONI!$B$3,B151))</f>
        <v/>
      </c>
      <c r="G152" s="17">
        <f>IF($B152="","",IF(ROW()=2,IMPOSTAZIONI!$B$3,B151)*IMPOSTAZIONI!$B$4)</f>
        <v/>
      </c>
      <c r="H152" s="17">
        <f>IF($B152="","",G152+MIN(0,IF(D152="",E152,MIN(E152,D152-IF(ROW()=2,IMPOSTAZIONI!$B$3,B151)))))</f>
        <v/>
      </c>
      <c r="I152" s="17">
        <f>IF($B152="","",IF(D152="",B152,MIN(B152,D152))-IMPOSTAZIONI!$B$10)</f>
        <v/>
      </c>
      <c r="J152" s="17">
        <f>IF($B152="","",B152-IMPOSTAZIONI!$B$3)</f>
        <v/>
      </c>
      <c r="K152" s="19">
        <f>IF($B152="","",IF(OR(H152&lt;=0,I152&lt;=0),"VIOLAZIONE",IF(OR(H152&lt;IF(ROW()=2,IMPOSTAZIONI!$B$3,B151)*0.01,I152&lt;IMPOSTAZIONI!$B$3*0.02),"ATTENZIONE","OK")))</f>
        <v/>
      </c>
    </row>
    <row r="153">
      <c r="A153" s="20" t="n"/>
      <c r="B153" s="21" t="n"/>
      <c r="C153" s="21" t="n"/>
      <c r="D153" s="16" t="n"/>
      <c r="E153" s="17">
        <f>IF($B153="","",B153-IF(ROW()=2,IMPOSTAZIONI!$B$3,B152)+IF(C153="",0,C153))</f>
        <v/>
      </c>
      <c r="F153" s="18">
        <f>IF($B153="","",E153/IF(ROW()=2,IMPOSTAZIONI!$B$3,B152))</f>
        <v/>
      </c>
      <c r="G153" s="17">
        <f>IF($B153="","",IF(ROW()=2,IMPOSTAZIONI!$B$3,B152)*IMPOSTAZIONI!$B$4)</f>
        <v/>
      </c>
      <c r="H153" s="17">
        <f>IF($B153="","",G153+MIN(0,IF(D153="",E153,MIN(E153,D153-IF(ROW()=2,IMPOSTAZIONI!$B$3,B152)))))</f>
        <v/>
      </c>
      <c r="I153" s="17">
        <f>IF($B153="","",IF(D153="",B153,MIN(B153,D153))-IMPOSTAZIONI!$B$10)</f>
        <v/>
      </c>
      <c r="J153" s="17">
        <f>IF($B153="","",B153-IMPOSTAZIONI!$B$3)</f>
        <v/>
      </c>
      <c r="K153" s="19">
        <f>IF($B153="","",IF(OR(H153&lt;=0,I153&lt;=0),"VIOLAZIONE",IF(OR(H153&lt;IF(ROW()=2,IMPOSTAZIONI!$B$3,B152)*0.01,I153&lt;IMPOSTAZIONI!$B$3*0.02),"ATTENZIONE","OK")))</f>
        <v/>
      </c>
    </row>
    <row r="154">
      <c r="A154" s="20" t="n"/>
      <c r="B154" s="21" t="n"/>
      <c r="C154" s="21" t="n"/>
      <c r="D154" s="16" t="n"/>
      <c r="E154" s="17">
        <f>IF($B154="","",B154-IF(ROW()=2,IMPOSTAZIONI!$B$3,B153)+IF(C154="",0,C154))</f>
        <v/>
      </c>
      <c r="F154" s="18">
        <f>IF($B154="","",E154/IF(ROW()=2,IMPOSTAZIONI!$B$3,B153))</f>
        <v/>
      </c>
      <c r="G154" s="17">
        <f>IF($B154="","",IF(ROW()=2,IMPOSTAZIONI!$B$3,B153)*IMPOSTAZIONI!$B$4)</f>
        <v/>
      </c>
      <c r="H154" s="17">
        <f>IF($B154="","",G154+MIN(0,IF(D154="",E154,MIN(E154,D154-IF(ROW()=2,IMPOSTAZIONI!$B$3,B153)))))</f>
        <v/>
      </c>
      <c r="I154" s="17">
        <f>IF($B154="","",IF(D154="",B154,MIN(B154,D154))-IMPOSTAZIONI!$B$10)</f>
        <v/>
      </c>
      <c r="J154" s="17">
        <f>IF($B154="","",B154-IMPOSTAZIONI!$B$3)</f>
        <v/>
      </c>
      <c r="K154" s="19">
        <f>IF($B154="","",IF(OR(H154&lt;=0,I154&lt;=0),"VIOLAZIONE",IF(OR(H154&lt;IF(ROW()=2,IMPOSTAZIONI!$B$3,B153)*0.01,I154&lt;IMPOSTAZIONI!$B$3*0.02),"ATTENZIONE","OK")))</f>
        <v/>
      </c>
    </row>
    <row r="155">
      <c r="A155" s="20" t="n"/>
      <c r="B155" s="21" t="n"/>
      <c r="C155" s="21" t="n"/>
      <c r="D155" s="16" t="n"/>
      <c r="E155" s="17">
        <f>IF($B155="","",B155-IF(ROW()=2,IMPOSTAZIONI!$B$3,B154)+IF(C155="",0,C155))</f>
        <v/>
      </c>
      <c r="F155" s="18">
        <f>IF($B155="","",E155/IF(ROW()=2,IMPOSTAZIONI!$B$3,B154))</f>
        <v/>
      </c>
      <c r="G155" s="17">
        <f>IF($B155="","",IF(ROW()=2,IMPOSTAZIONI!$B$3,B154)*IMPOSTAZIONI!$B$4)</f>
        <v/>
      </c>
      <c r="H155" s="17">
        <f>IF($B155="","",G155+MIN(0,IF(D155="",E155,MIN(E155,D155-IF(ROW()=2,IMPOSTAZIONI!$B$3,B154)))))</f>
        <v/>
      </c>
      <c r="I155" s="17">
        <f>IF($B155="","",IF(D155="",B155,MIN(B155,D155))-IMPOSTAZIONI!$B$10)</f>
        <v/>
      </c>
      <c r="J155" s="17">
        <f>IF($B155="","",B155-IMPOSTAZIONI!$B$3)</f>
        <v/>
      </c>
      <c r="K155" s="19">
        <f>IF($B155="","",IF(OR(H155&lt;=0,I155&lt;=0),"VIOLAZIONE",IF(OR(H155&lt;IF(ROW()=2,IMPOSTAZIONI!$B$3,B154)*0.01,I155&lt;IMPOSTAZIONI!$B$3*0.02),"ATTENZIONE","OK")))</f>
        <v/>
      </c>
    </row>
    <row r="156">
      <c r="A156" s="20" t="n"/>
      <c r="B156" s="21" t="n"/>
      <c r="C156" s="21" t="n"/>
      <c r="D156" s="16" t="n"/>
      <c r="E156" s="17">
        <f>IF($B156="","",B156-IF(ROW()=2,IMPOSTAZIONI!$B$3,B155)+IF(C156="",0,C156))</f>
        <v/>
      </c>
      <c r="F156" s="18">
        <f>IF($B156="","",E156/IF(ROW()=2,IMPOSTAZIONI!$B$3,B155))</f>
        <v/>
      </c>
      <c r="G156" s="17">
        <f>IF($B156="","",IF(ROW()=2,IMPOSTAZIONI!$B$3,B155)*IMPOSTAZIONI!$B$4)</f>
        <v/>
      </c>
      <c r="H156" s="17">
        <f>IF($B156="","",G156+MIN(0,IF(D156="",E156,MIN(E156,D156-IF(ROW()=2,IMPOSTAZIONI!$B$3,B155)))))</f>
        <v/>
      </c>
      <c r="I156" s="17">
        <f>IF($B156="","",IF(D156="",B156,MIN(B156,D156))-IMPOSTAZIONI!$B$10)</f>
        <v/>
      </c>
      <c r="J156" s="17">
        <f>IF($B156="","",B156-IMPOSTAZIONI!$B$3)</f>
        <v/>
      </c>
      <c r="K156" s="19">
        <f>IF($B156="","",IF(OR(H156&lt;=0,I156&lt;=0),"VIOLAZIONE",IF(OR(H156&lt;IF(ROW()=2,IMPOSTAZIONI!$B$3,B155)*0.01,I156&lt;IMPOSTAZIONI!$B$3*0.02),"ATTENZIONE","OK")))</f>
        <v/>
      </c>
    </row>
    <row r="157">
      <c r="A157" s="20" t="n"/>
      <c r="B157" s="21" t="n"/>
      <c r="C157" s="21" t="n"/>
      <c r="D157" s="16" t="n"/>
      <c r="E157" s="17">
        <f>IF($B157="","",B157-IF(ROW()=2,IMPOSTAZIONI!$B$3,B156)+IF(C157="",0,C157))</f>
        <v/>
      </c>
      <c r="F157" s="18">
        <f>IF($B157="","",E157/IF(ROW()=2,IMPOSTAZIONI!$B$3,B156))</f>
        <v/>
      </c>
      <c r="G157" s="17">
        <f>IF($B157="","",IF(ROW()=2,IMPOSTAZIONI!$B$3,B156)*IMPOSTAZIONI!$B$4)</f>
        <v/>
      </c>
      <c r="H157" s="17">
        <f>IF($B157="","",G157+MIN(0,IF(D157="",E157,MIN(E157,D157-IF(ROW()=2,IMPOSTAZIONI!$B$3,B156)))))</f>
        <v/>
      </c>
      <c r="I157" s="17">
        <f>IF($B157="","",IF(D157="",B157,MIN(B157,D157))-IMPOSTAZIONI!$B$10)</f>
        <v/>
      </c>
      <c r="J157" s="17">
        <f>IF($B157="","",B157-IMPOSTAZIONI!$B$3)</f>
        <v/>
      </c>
      <c r="K157" s="19">
        <f>IF($B157="","",IF(OR(H157&lt;=0,I157&lt;=0),"VIOLAZIONE",IF(OR(H157&lt;IF(ROW()=2,IMPOSTAZIONI!$B$3,B156)*0.01,I157&lt;IMPOSTAZIONI!$B$3*0.02),"ATTENZIONE","OK")))</f>
        <v/>
      </c>
    </row>
    <row r="158">
      <c r="A158" s="20" t="n"/>
      <c r="B158" s="21" t="n"/>
      <c r="C158" s="21" t="n"/>
      <c r="D158" s="16" t="n"/>
      <c r="E158" s="17">
        <f>IF($B158="","",B158-IF(ROW()=2,IMPOSTAZIONI!$B$3,B157)+IF(C158="",0,C158))</f>
        <v/>
      </c>
      <c r="F158" s="18">
        <f>IF($B158="","",E158/IF(ROW()=2,IMPOSTAZIONI!$B$3,B157))</f>
        <v/>
      </c>
      <c r="G158" s="17">
        <f>IF($B158="","",IF(ROW()=2,IMPOSTAZIONI!$B$3,B157)*IMPOSTAZIONI!$B$4)</f>
        <v/>
      </c>
      <c r="H158" s="17">
        <f>IF($B158="","",G158+MIN(0,IF(D158="",E158,MIN(E158,D158-IF(ROW()=2,IMPOSTAZIONI!$B$3,B157)))))</f>
        <v/>
      </c>
      <c r="I158" s="17">
        <f>IF($B158="","",IF(D158="",B158,MIN(B158,D158))-IMPOSTAZIONI!$B$10)</f>
        <v/>
      </c>
      <c r="J158" s="17">
        <f>IF($B158="","",B158-IMPOSTAZIONI!$B$3)</f>
        <v/>
      </c>
      <c r="K158" s="19">
        <f>IF($B158="","",IF(OR(H158&lt;=0,I158&lt;=0),"VIOLAZIONE",IF(OR(H158&lt;IF(ROW()=2,IMPOSTAZIONI!$B$3,B157)*0.01,I158&lt;IMPOSTAZIONI!$B$3*0.02),"ATTENZIONE","OK")))</f>
        <v/>
      </c>
    </row>
    <row r="159">
      <c r="A159" s="20" t="n"/>
      <c r="B159" s="21" t="n"/>
      <c r="C159" s="21" t="n"/>
      <c r="D159" s="16" t="n"/>
      <c r="E159" s="17">
        <f>IF($B159="","",B159-IF(ROW()=2,IMPOSTAZIONI!$B$3,B158)+IF(C159="",0,C159))</f>
        <v/>
      </c>
      <c r="F159" s="18">
        <f>IF($B159="","",E159/IF(ROW()=2,IMPOSTAZIONI!$B$3,B158))</f>
        <v/>
      </c>
      <c r="G159" s="17">
        <f>IF($B159="","",IF(ROW()=2,IMPOSTAZIONI!$B$3,B158)*IMPOSTAZIONI!$B$4)</f>
        <v/>
      </c>
      <c r="H159" s="17">
        <f>IF($B159="","",G159+MIN(0,IF(D159="",E159,MIN(E159,D159-IF(ROW()=2,IMPOSTAZIONI!$B$3,B158)))))</f>
        <v/>
      </c>
      <c r="I159" s="17">
        <f>IF($B159="","",IF(D159="",B159,MIN(B159,D159))-IMPOSTAZIONI!$B$10)</f>
        <v/>
      </c>
      <c r="J159" s="17">
        <f>IF($B159="","",B159-IMPOSTAZIONI!$B$3)</f>
        <v/>
      </c>
      <c r="K159" s="19">
        <f>IF($B159="","",IF(OR(H159&lt;=0,I159&lt;=0),"VIOLAZIONE",IF(OR(H159&lt;IF(ROW()=2,IMPOSTAZIONI!$B$3,B158)*0.01,I159&lt;IMPOSTAZIONI!$B$3*0.02),"ATTENZIONE","OK")))</f>
        <v/>
      </c>
    </row>
    <row r="160">
      <c r="A160" s="20" t="n"/>
      <c r="B160" s="21" t="n"/>
      <c r="C160" s="21" t="n"/>
      <c r="D160" s="16" t="n"/>
      <c r="E160" s="17">
        <f>IF($B160="","",B160-IF(ROW()=2,IMPOSTAZIONI!$B$3,B159)+IF(C160="",0,C160))</f>
        <v/>
      </c>
      <c r="F160" s="18">
        <f>IF($B160="","",E160/IF(ROW()=2,IMPOSTAZIONI!$B$3,B159))</f>
        <v/>
      </c>
      <c r="G160" s="17">
        <f>IF($B160="","",IF(ROW()=2,IMPOSTAZIONI!$B$3,B159)*IMPOSTAZIONI!$B$4)</f>
        <v/>
      </c>
      <c r="H160" s="17">
        <f>IF($B160="","",G160+MIN(0,IF(D160="",E160,MIN(E160,D160-IF(ROW()=2,IMPOSTAZIONI!$B$3,B159)))))</f>
        <v/>
      </c>
      <c r="I160" s="17">
        <f>IF($B160="","",IF(D160="",B160,MIN(B160,D160))-IMPOSTAZIONI!$B$10)</f>
        <v/>
      </c>
      <c r="J160" s="17">
        <f>IF($B160="","",B160-IMPOSTAZIONI!$B$3)</f>
        <v/>
      </c>
      <c r="K160" s="19">
        <f>IF($B160="","",IF(OR(H160&lt;=0,I160&lt;=0),"VIOLAZIONE",IF(OR(H160&lt;IF(ROW()=2,IMPOSTAZIONI!$B$3,B159)*0.01,I160&lt;IMPOSTAZIONI!$B$3*0.02),"ATTENZIONE","OK")))</f>
        <v/>
      </c>
    </row>
    <row r="161">
      <c r="A161" s="20" t="n"/>
      <c r="B161" s="21" t="n"/>
      <c r="C161" s="21" t="n"/>
      <c r="D161" s="16" t="n"/>
      <c r="E161" s="17">
        <f>IF($B161="","",B161-IF(ROW()=2,IMPOSTAZIONI!$B$3,B160)+IF(C161="",0,C161))</f>
        <v/>
      </c>
      <c r="F161" s="18">
        <f>IF($B161="","",E161/IF(ROW()=2,IMPOSTAZIONI!$B$3,B160))</f>
        <v/>
      </c>
      <c r="G161" s="17">
        <f>IF($B161="","",IF(ROW()=2,IMPOSTAZIONI!$B$3,B160)*IMPOSTAZIONI!$B$4)</f>
        <v/>
      </c>
      <c r="H161" s="17">
        <f>IF($B161="","",G161+MIN(0,IF(D161="",E161,MIN(E161,D161-IF(ROW()=2,IMPOSTAZIONI!$B$3,B160)))))</f>
        <v/>
      </c>
      <c r="I161" s="17">
        <f>IF($B161="","",IF(D161="",B161,MIN(B161,D161))-IMPOSTAZIONI!$B$10)</f>
        <v/>
      </c>
      <c r="J161" s="17">
        <f>IF($B161="","",B161-IMPOSTAZIONI!$B$3)</f>
        <v/>
      </c>
      <c r="K161" s="19">
        <f>IF($B161="","",IF(OR(H161&lt;=0,I161&lt;=0),"VIOLAZIONE",IF(OR(H161&lt;IF(ROW()=2,IMPOSTAZIONI!$B$3,B160)*0.01,I161&lt;IMPOSTAZIONI!$B$3*0.02),"ATTENZIONE","OK")))</f>
        <v/>
      </c>
    </row>
    <row r="162">
      <c r="A162" s="20" t="n"/>
      <c r="B162" s="21" t="n"/>
      <c r="C162" s="21" t="n"/>
      <c r="D162" s="16" t="n"/>
      <c r="E162" s="17">
        <f>IF($B162="","",B162-IF(ROW()=2,IMPOSTAZIONI!$B$3,B161)+IF(C162="",0,C162))</f>
        <v/>
      </c>
      <c r="F162" s="18">
        <f>IF($B162="","",E162/IF(ROW()=2,IMPOSTAZIONI!$B$3,B161))</f>
        <v/>
      </c>
      <c r="G162" s="17">
        <f>IF($B162="","",IF(ROW()=2,IMPOSTAZIONI!$B$3,B161)*IMPOSTAZIONI!$B$4)</f>
        <v/>
      </c>
      <c r="H162" s="17">
        <f>IF($B162="","",G162+MIN(0,IF(D162="",E162,MIN(E162,D162-IF(ROW()=2,IMPOSTAZIONI!$B$3,B161)))))</f>
        <v/>
      </c>
      <c r="I162" s="17">
        <f>IF($B162="","",IF(D162="",B162,MIN(B162,D162))-IMPOSTAZIONI!$B$10)</f>
        <v/>
      </c>
      <c r="J162" s="17">
        <f>IF($B162="","",B162-IMPOSTAZIONI!$B$3)</f>
        <v/>
      </c>
      <c r="K162" s="19">
        <f>IF($B162="","",IF(OR(H162&lt;=0,I162&lt;=0),"VIOLAZIONE",IF(OR(H162&lt;IF(ROW()=2,IMPOSTAZIONI!$B$3,B161)*0.01,I162&lt;IMPOSTAZIONI!$B$3*0.02),"ATTENZIONE","OK")))</f>
        <v/>
      </c>
    </row>
    <row r="163">
      <c r="A163" s="20" t="n"/>
      <c r="B163" s="21" t="n"/>
      <c r="C163" s="21" t="n"/>
      <c r="D163" s="16" t="n"/>
      <c r="E163" s="17">
        <f>IF($B163="","",B163-IF(ROW()=2,IMPOSTAZIONI!$B$3,B162)+IF(C163="",0,C163))</f>
        <v/>
      </c>
      <c r="F163" s="18">
        <f>IF($B163="","",E163/IF(ROW()=2,IMPOSTAZIONI!$B$3,B162))</f>
        <v/>
      </c>
      <c r="G163" s="17">
        <f>IF($B163="","",IF(ROW()=2,IMPOSTAZIONI!$B$3,B162)*IMPOSTAZIONI!$B$4)</f>
        <v/>
      </c>
      <c r="H163" s="17">
        <f>IF($B163="","",G163+MIN(0,IF(D163="",E163,MIN(E163,D163-IF(ROW()=2,IMPOSTAZIONI!$B$3,B162)))))</f>
        <v/>
      </c>
      <c r="I163" s="17">
        <f>IF($B163="","",IF(D163="",B163,MIN(B163,D163))-IMPOSTAZIONI!$B$10)</f>
        <v/>
      </c>
      <c r="J163" s="17">
        <f>IF($B163="","",B163-IMPOSTAZIONI!$B$3)</f>
        <v/>
      </c>
      <c r="K163" s="19">
        <f>IF($B163="","",IF(OR(H163&lt;=0,I163&lt;=0),"VIOLAZIONE",IF(OR(H163&lt;IF(ROW()=2,IMPOSTAZIONI!$B$3,B162)*0.01,I163&lt;IMPOSTAZIONI!$B$3*0.02),"ATTENZIONE","OK")))</f>
        <v/>
      </c>
    </row>
    <row r="164">
      <c r="A164" s="20" t="n"/>
      <c r="B164" s="21" t="n"/>
      <c r="C164" s="21" t="n"/>
      <c r="D164" s="16" t="n"/>
      <c r="E164" s="17">
        <f>IF($B164="","",B164-IF(ROW()=2,IMPOSTAZIONI!$B$3,B163)+IF(C164="",0,C164))</f>
        <v/>
      </c>
      <c r="F164" s="18">
        <f>IF($B164="","",E164/IF(ROW()=2,IMPOSTAZIONI!$B$3,B163))</f>
        <v/>
      </c>
      <c r="G164" s="17">
        <f>IF($B164="","",IF(ROW()=2,IMPOSTAZIONI!$B$3,B163)*IMPOSTAZIONI!$B$4)</f>
        <v/>
      </c>
      <c r="H164" s="17">
        <f>IF($B164="","",G164+MIN(0,IF(D164="",E164,MIN(E164,D164-IF(ROW()=2,IMPOSTAZIONI!$B$3,B163)))))</f>
        <v/>
      </c>
      <c r="I164" s="17">
        <f>IF($B164="","",IF(D164="",B164,MIN(B164,D164))-IMPOSTAZIONI!$B$10)</f>
        <v/>
      </c>
      <c r="J164" s="17">
        <f>IF($B164="","",B164-IMPOSTAZIONI!$B$3)</f>
        <v/>
      </c>
      <c r="K164" s="19">
        <f>IF($B164="","",IF(OR(H164&lt;=0,I164&lt;=0),"VIOLAZIONE",IF(OR(H164&lt;IF(ROW()=2,IMPOSTAZIONI!$B$3,B163)*0.01,I164&lt;IMPOSTAZIONI!$B$3*0.02),"ATTENZIONE","OK")))</f>
        <v/>
      </c>
    </row>
    <row r="165">
      <c r="A165" s="20" t="n"/>
      <c r="B165" s="21" t="n"/>
      <c r="C165" s="21" t="n"/>
      <c r="D165" s="16" t="n"/>
      <c r="E165" s="17">
        <f>IF($B165="","",B165-IF(ROW()=2,IMPOSTAZIONI!$B$3,B164)+IF(C165="",0,C165))</f>
        <v/>
      </c>
      <c r="F165" s="18">
        <f>IF($B165="","",E165/IF(ROW()=2,IMPOSTAZIONI!$B$3,B164))</f>
        <v/>
      </c>
      <c r="G165" s="17">
        <f>IF($B165="","",IF(ROW()=2,IMPOSTAZIONI!$B$3,B164)*IMPOSTAZIONI!$B$4)</f>
        <v/>
      </c>
      <c r="H165" s="17">
        <f>IF($B165="","",G165+MIN(0,IF(D165="",E165,MIN(E165,D165-IF(ROW()=2,IMPOSTAZIONI!$B$3,B164)))))</f>
        <v/>
      </c>
      <c r="I165" s="17">
        <f>IF($B165="","",IF(D165="",B165,MIN(B165,D165))-IMPOSTAZIONI!$B$10)</f>
        <v/>
      </c>
      <c r="J165" s="17">
        <f>IF($B165="","",B165-IMPOSTAZIONI!$B$3)</f>
        <v/>
      </c>
      <c r="K165" s="19">
        <f>IF($B165="","",IF(OR(H165&lt;=0,I165&lt;=0),"VIOLAZIONE",IF(OR(H165&lt;IF(ROW()=2,IMPOSTAZIONI!$B$3,B164)*0.01,I165&lt;IMPOSTAZIONI!$B$3*0.02),"ATTENZIONE","OK")))</f>
        <v/>
      </c>
    </row>
    <row r="166">
      <c r="A166" s="20" t="n"/>
      <c r="B166" s="21" t="n"/>
      <c r="C166" s="21" t="n"/>
      <c r="D166" s="16" t="n"/>
      <c r="E166" s="17">
        <f>IF($B166="","",B166-IF(ROW()=2,IMPOSTAZIONI!$B$3,B165)+IF(C166="",0,C166))</f>
        <v/>
      </c>
      <c r="F166" s="18">
        <f>IF($B166="","",E166/IF(ROW()=2,IMPOSTAZIONI!$B$3,B165))</f>
        <v/>
      </c>
      <c r="G166" s="17">
        <f>IF($B166="","",IF(ROW()=2,IMPOSTAZIONI!$B$3,B165)*IMPOSTAZIONI!$B$4)</f>
        <v/>
      </c>
      <c r="H166" s="17">
        <f>IF($B166="","",G166+MIN(0,IF(D166="",E166,MIN(E166,D166-IF(ROW()=2,IMPOSTAZIONI!$B$3,B165)))))</f>
        <v/>
      </c>
      <c r="I166" s="17">
        <f>IF($B166="","",IF(D166="",B166,MIN(B166,D166))-IMPOSTAZIONI!$B$10)</f>
        <v/>
      </c>
      <c r="J166" s="17">
        <f>IF($B166="","",B166-IMPOSTAZIONI!$B$3)</f>
        <v/>
      </c>
      <c r="K166" s="19">
        <f>IF($B166="","",IF(OR(H166&lt;=0,I166&lt;=0),"VIOLAZIONE",IF(OR(H166&lt;IF(ROW()=2,IMPOSTAZIONI!$B$3,B165)*0.01,I166&lt;IMPOSTAZIONI!$B$3*0.02),"ATTENZIONE","OK")))</f>
        <v/>
      </c>
    </row>
    <row r="167">
      <c r="A167" s="20" t="n"/>
      <c r="B167" s="21" t="n"/>
      <c r="C167" s="21" t="n"/>
      <c r="D167" s="16" t="n"/>
      <c r="E167" s="17">
        <f>IF($B167="","",B167-IF(ROW()=2,IMPOSTAZIONI!$B$3,B166)+IF(C167="",0,C167))</f>
        <v/>
      </c>
      <c r="F167" s="18">
        <f>IF($B167="","",E167/IF(ROW()=2,IMPOSTAZIONI!$B$3,B166))</f>
        <v/>
      </c>
      <c r="G167" s="17">
        <f>IF($B167="","",IF(ROW()=2,IMPOSTAZIONI!$B$3,B166)*IMPOSTAZIONI!$B$4)</f>
        <v/>
      </c>
      <c r="H167" s="17">
        <f>IF($B167="","",G167+MIN(0,IF(D167="",E167,MIN(E167,D167-IF(ROW()=2,IMPOSTAZIONI!$B$3,B166)))))</f>
        <v/>
      </c>
      <c r="I167" s="17">
        <f>IF($B167="","",IF(D167="",B167,MIN(B167,D167))-IMPOSTAZIONI!$B$10)</f>
        <v/>
      </c>
      <c r="J167" s="17">
        <f>IF($B167="","",B167-IMPOSTAZIONI!$B$3)</f>
        <v/>
      </c>
      <c r="K167" s="19">
        <f>IF($B167="","",IF(OR(H167&lt;=0,I167&lt;=0),"VIOLAZIONE",IF(OR(H167&lt;IF(ROW()=2,IMPOSTAZIONI!$B$3,B166)*0.01,I167&lt;IMPOSTAZIONI!$B$3*0.02),"ATTENZIONE","OK")))</f>
        <v/>
      </c>
    </row>
    <row r="168">
      <c r="A168" s="20" t="n"/>
      <c r="B168" s="21" t="n"/>
      <c r="C168" s="21" t="n"/>
      <c r="D168" s="16" t="n"/>
      <c r="E168" s="17">
        <f>IF($B168="","",B168-IF(ROW()=2,IMPOSTAZIONI!$B$3,B167)+IF(C168="",0,C168))</f>
        <v/>
      </c>
      <c r="F168" s="18">
        <f>IF($B168="","",E168/IF(ROW()=2,IMPOSTAZIONI!$B$3,B167))</f>
        <v/>
      </c>
      <c r="G168" s="17">
        <f>IF($B168="","",IF(ROW()=2,IMPOSTAZIONI!$B$3,B167)*IMPOSTAZIONI!$B$4)</f>
        <v/>
      </c>
      <c r="H168" s="17">
        <f>IF($B168="","",G168+MIN(0,IF(D168="",E168,MIN(E168,D168-IF(ROW()=2,IMPOSTAZIONI!$B$3,B167)))))</f>
        <v/>
      </c>
      <c r="I168" s="17">
        <f>IF($B168="","",IF(D168="",B168,MIN(B168,D168))-IMPOSTAZIONI!$B$10)</f>
        <v/>
      </c>
      <c r="J168" s="17">
        <f>IF($B168="","",B168-IMPOSTAZIONI!$B$3)</f>
        <v/>
      </c>
      <c r="K168" s="19">
        <f>IF($B168="","",IF(OR(H168&lt;=0,I168&lt;=0),"VIOLAZIONE",IF(OR(H168&lt;IF(ROW()=2,IMPOSTAZIONI!$B$3,B167)*0.01,I168&lt;IMPOSTAZIONI!$B$3*0.02),"ATTENZIONE","OK")))</f>
        <v/>
      </c>
    </row>
    <row r="169">
      <c r="A169" s="20" t="n"/>
      <c r="B169" s="21" t="n"/>
      <c r="C169" s="21" t="n"/>
      <c r="D169" s="16" t="n"/>
      <c r="E169" s="17">
        <f>IF($B169="","",B169-IF(ROW()=2,IMPOSTAZIONI!$B$3,B168)+IF(C169="",0,C169))</f>
        <v/>
      </c>
      <c r="F169" s="18">
        <f>IF($B169="","",E169/IF(ROW()=2,IMPOSTAZIONI!$B$3,B168))</f>
        <v/>
      </c>
      <c r="G169" s="17">
        <f>IF($B169="","",IF(ROW()=2,IMPOSTAZIONI!$B$3,B168)*IMPOSTAZIONI!$B$4)</f>
        <v/>
      </c>
      <c r="H169" s="17">
        <f>IF($B169="","",G169+MIN(0,IF(D169="",E169,MIN(E169,D169-IF(ROW()=2,IMPOSTAZIONI!$B$3,B168)))))</f>
        <v/>
      </c>
      <c r="I169" s="17">
        <f>IF($B169="","",IF(D169="",B169,MIN(B169,D169))-IMPOSTAZIONI!$B$10)</f>
        <v/>
      </c>
      <c r="J169" s="17">
        <f>IF($B169="","",B169-IMPOSTAZIONI!$B$3)</f>
        <v/>
      </c>
      <c r="K169" s="19">
        <f>IF($B169="","",IF(OR(H169&lt;=0,I169&lt;=0),"VIOLAZIONE",IF(OR(H169&lt;IF(ROW()=2,IMPOSTAZIONI!$B$3,B168)*0.01,I169&lt;IMPOSTAZIONI!$B$3*0.02),"ATTENZIONE","OK")))</f>
        <v/>
      </c>
    </row>
    <row r="170">
      <c r="A170" s="20" t="n"/>
      <c r="B170" s="21" t="n"/>
      <c r="C170" s="21" t="n"/>
      <c r="D170" s="16" t="n"/>
      <c r="E170" s="17">
        <f>IF($B170="","",B170-IF(ROW()=2,IMPOSTAZIONI!$B$3,B169)+IF(C170="",0,C170))</f>
        <v/>
      </c>
      <c r="F170" s="18">
        <f>IF($B170="","",E170/IF(ROW()=2,IMPOSTAZIONI!$B$3,B169))</f>
        <v/>
      </c>
      <c r="G170" s="17">
        <f>IF($B170="","",IF(ROW()=2,IMPOSTAZIONI!$B$3,B169)*IMPOSTAZIONI!$B$4)</f>
        <v/>
      </c>
      <c r="H170" s="17">
        <f>IF($B170="","",G170+MIN(0,IF(D170="",E170,MIN(E170,D170-IF(ROW()=2,IMPOSTAZIONI!$B$3,B169)))))</f>
        <v/>
      </c>
      <c r="I170" s="17">
        <f>IF($B170="","",IF(D170="",B170,MIN(B170,D170))-IMPOSTAZIONI!$B$10)</f>
        <v/>
      </c>
      <c r="J170" s="17">
        <f>IF($B170="","",B170-IMPOSTAZIONI!$B$3)</f>
        <v/>
      </c>
      <c r="K170" s="19">
        <f>IF($B170="","",IF(OR(H170&lt;=0,I170&lt;=0),"VIOLAZIONE",IF(OR(H170&lt;IF(ROW()=2,IMPOSTAZIONI!$B$3,B169)*0.01,I170&lt;IMPOSTAZIONI!$B$3*0.02),"ATTENZIONE","OK")))</f>
        <v/>
      </c>
    </row>
    <row r="171">
      <c r="A171" s="20" t="n"/>
      <c r="B171" s="21" t="n"/>
      <c r="C171" s="21" t="n"/>
      <c r="D171" s="16" t="n"/>
      <c r="E171" s="17">
        <f>IF($B171="","",B171-IF(ROW()=2,IMPOSTAZIONI!$B$3,B170)+IF(C171="",0,C171))</f>
        <v/>
      </c>
      <c r="F171" s="18">
        <f>IF($B171="","",E171/IF(ROW()=2,IMPOSTAZIONI!$B$3,B170))</f>
        <v/>
      </c>
      <c r="G171" s="17">
        <f>IF($B171="","",IF(ROW()=2,IMPOSTAZIONI!$B$3,B170)*IMPOSTAZIONI!$B$4)</f>
        <v/>
      </c>
      <c r="H171" s="17">
        <f>IF($B171="","",G171+MIN(0,IF(D171="",E171,MIN(E171,D171-IF(ROW()=2,IMPOSTAZIONI!$B$3,B170)))))</f>
        <v/>
      </c>
      <c r="I171" s="17">
        <f>IF($B171="","",IF(D171="",B171,MIN(B171,D171))-IMPOSTAZIONI!$B$10)</f>
        <v/>
      </c>
      <c r="J171" s="17">
        <f>IF($B171="","",B171-IMPOSTAZIONI!$B$3)</f>
        <v/>
      </c>
      <c r="K171" s="19">
        <f>IF($B171="","",IF(OR(H171&lt;=0,I171&lt;=0),"VIOLAZIONE",IF(OR(H171&lt;IF(ROW()=2,IMPOSTAZIONI!$B$3,B170)*0.01,I171&lt;IMPOSTAZIONI!$B$3*0.02),"ATTENZIONE","OK")))</f>
        <v/>
      </c>
    </row>
    <row r="172">
      <c r="A172" s="20" t="n"/>
      <c r="B172" s="21" t="n"/>
      <c r="C172" s="21" t="n"/>
      <c r="D172" s="16" t="n"/>
      <c r="E172" s="17">
        <f>IF($B172="","",B172-IF(ROW()=2,IMPOSTAZIONI!$B$3,B171)+IF(C172="",0,C172))</f>
        <v/>
      </c>
      <c r="F172" s="18">
        <f>IF($B172="","",E172/IF(ROW()=2,IMPOSTAZIONI!$B$3,B171))</f>
        <v/>
      </c>
      <c r="G172" s="17">
        <f>IF($B172="","",IF(ROW()=2,IMPOSTAZIONI!$B$3,B171)*IMPOSTAZIONI!$B$4)</f>
        <v/>
      </c>
      <c r="H172" s="17">
        <f>IF($B172="","",G172+MIN(0,IF(D172="",E172,MIN(E172,D172-IF(ROW()=2,IMPOSTAZIONI!$B$3,B171)))))</f>
        <v/>
      </c>
      <c r="I172" s="17">
        <f>IF($B172="","",IF(D172="",B172,MIN(B172,D172))-IMPOSTAZIONI!$B$10)</f>
        <v/>
      </c>
      <c r="J172" s="17">
        <f>IF($B172="","",B172-IMPOSTAZIONI!$B$3)</f>
        <v/>
      </c>
      <c r="K172" s="19">
        <f>IF($B172="","",IF(OR(H172&lt;=0,I172&lt;=0),"VIOLAZIONE",IF(OR(H172&lt;IF(ROW()=2,IMPOSTAZIONI!$B$3,B171)*0.01,I172&lt;IMPOSTAZIONI!$B$3*0.02),"ATTENZIONE","OK")))</f>
        <v/>
      </c>
    </row>
    <row r="173">
      <c r="A173" s="20" t="n"/>
      <c r="B173" s="21" t="n"/>
      <c r="C173" s="21" t="n"/>
      <c r="D173" s="16" t="n"/>
      <c r="E173" s="17">
        <f>IF($B173="","",B173-IF(ROW()=2,IMPOSTAZIONI!$B$3,B172)+IF(C173="",0,C173))</f>
        <v/>
      </c>
      <c r="F173" s="18">
        <f>IF($B173="","",E173/IF(ROW()=2,IMPOSTAZIONI!$B$3,B172))</f>
        <v/>
      </c>
      <c r="G173" s="17">
        <f>IF($B173="","",IF(ROW()=2,IMPOSTAZIONI!$B$3,B172)*IMPOSTAZIONI!$B$4)</f>
        <v/>
      </c>
      <c r="H173" s="17">
        <f>IF($B173="","",G173+MIN(0,IF(D173="",E173,MIN(E173,D173-IF(ROW()=2,IMPOSTAZIONI!$B$3,B172)))))</f>
        <v/>
      </c>
      <c r="I173" s="17">
        <f>IF($B173="","",IF(D173="",B173,MIN(B173,D173))-IMPOSTAZIONI!$B$10)</f>
        <v/>
      </c>
      <c r="J173" s="17">
        <f>IF($B173="","",B173-IMPOSTAZIONI!$B$3)</f>
        <v/>
      </c>
      <c r="K173" s="19">
        <f>IF($B173="","",IF(OR(H173&lt;=0,I173&lt;=0),"VIOLAZIONE",IF(OR(H173&lt;IF(ROW()=2,IMPOSTAZIONI!$B$3,B172)*0.01,I173&lt;IMPOSTAZIONI!$B$3*0.02),"ATTENZIONE","OK")))</f>
        <v/>
      </c>
    </row>
    <row r="174">
      <c r="A174" s="20" t="n"/>
      <c r="B174" s="21" t="n"/>
      <c r="C174" s="21" t="n"/>
      <c r="D174" s="16" t="n"/>
      <c r="E174" s="17">
        <f>IF($B174="","",B174-IF(ROW()=2,IMPOSTAZIONI!$B$3,B173)+IF(C174="",0,C174))</f>
        <v/>
      </c>
      <c r="F174" s="18">
        <f>IF($B174="","",E174/IF(ROW()=2,IMPOSTAZIONI!$B$3,B173))</f>
        <v/>
      </c>
      <c r="G174" s="17">
        <f>IF($B174="","",IF(ROW()=2,IMPOSTAZIONI!$B$3,B173)*IMPOSTAZIONI!$B$4)</f>
        <v/>
      </c>
      <c r="H174" s="17">
        <f>IF($B174="","",G174+MIN(0,IF(D174="",E174,MIN(E174,D174-IF(ROW()=2,IMPOSTAZIONI!$B$3,B173)))))</f>
        <v/>
      </c>
      <c r="I174" s="17">
        <f>IF($B174="","",IF(D174="",B174,MIN(B174,D174))-IMPOSTAZIONI!$B$10)</f>
        <v/>
      </c>
      <c r="J174" s="17">
        <f>IF($B174="","",B174-IMPOSTAZIONI!$B$3)</f>
        <v/>
      </c>
      <c r="K174" s="19">
        <f>IF($B174="","",IF(OR(H174&lt;=0,I174&lt;=0),"VIOLAZIONE",IF(OR(H174&lt;IF(ROW()=2,IMPOSTAZIONI!$B$3,B173)*0.01,I174&lt;IMPOSTAZIONI!$B$3*0.02),"ATTENZIONE","OK")))</f>
        <v/>
      </c>
    </row>
    <row r="175">
      <c r="A175" s="20" t="n"/>
      <c r="B175" s="21" t="n"/>
      <c r="C175" s="21" t="n"/>
      <c r="D175" s="16" t="n"/>
      <c r="E175" s="17">
        <f>IF($B175="","",B175-IF(ROW()=2,IMPOSTAZIONI!$B$3,B174)+IF(C175="",0,C175))</f>
        <v/>
      </c>
      <c r="F175" s="18">
        <f>IF($B175="","",E175/IF(ROW()=2,IMPOSTAZIONI!$B$3,B174))</f>
        <v/>
      </c>
      <c r="G175" s="17">
        <f>IF($B175="","",IF(ROW()=2,IMPOSTAZIONI!$B$3,B174)*IMPOSTAZIONI!$B$4)</f>
        <v/>
      </c>
      <c r="H175" s="17">
        <f>IF($B175="","",G175+MIN(0,IF(D175="",E175,MIN(E175,D175-IF(ROW()=2,IMPOSTAZIONI!$B$3,B174)))))</f>
        <v/>
      </c>
      <c r="I175" s="17">
        <f>IF($B175="","",IF(D175="",B175,MIN(B175,D175))-IMPOSTAZIONI!$B$10)</f>
        <v/>
      </c>
      <c r="J175" s="17">
        <f>IF($B175="","",B175-IMPOSTAZIONI!$B$3)</f>
        <v/>
      </c>
      <c r="K175" s="19">
        <f>IF($B175="","",IF(OR(H175&lt;=0,I175&lt;=0),"VIOLAZIONE",IF(OR(H175&lt;IF(ROW()=2,IMPOSTAZIONI!$B$3,B174)*0.01,I175&lt;IMPOSTAZIONI!$B$3*0.02),"ATTENZIONE","OK")))</f>
        <v/>
      </c>
    </row>
    <row r="176">
      <c r="A176" s="20" t="n"/>
      <c r="B176" s="21" t="n"/>
      <c r="C176" s="21" t="n"/>
      <c r="D176" s="16" t="n"/>
      <c r="E176" s="17">
        <f>IF($B176="","",B176-IF(ROW()=2,IMPOSTAZIONI!$B$3,B175)+IF(C176="",0,C176))</f>
        <v/>
      </c>
      <c r="F176" s="18">
        <f>IF($B176="","",E176/IF(ROW()=2,IMPOSTAZIONI!$B$3,B175))</f>
        <v/>
      </c>
      <c r="G176" s="17">
        <f>IF($B176="","",IF(ROW()=2,IMPOSTAZIONI!$B$3,B175)*IMPOSTAZIONI!$B$4)</f>
        <v/>
      </c>
      <c r="H176" s="17">
        <f>IF($B176="","",G176+MIN(0,IF(D176="",E176,MIN(E176,D176-IF(ROW()=2,IMPOSTAZIONI!$B$3,B175)))))</f>
        <v/>
      </c>
      <c r="I176" s="17">
        <f>IF($B176="","",IF(D176="",B176,MIN(B176,D176))-IMPOSTAZIONI!$B$10)</f>
        <v/>
      </c>
      <c r="J176" s="17">
        <f>IF($B176="","",B176-IMPOSTAZIONI!$B$3)</f>
        <v/>
      </c>
      <c r="K176" s="19">
        <f>IF($B176="","",IF(OR(H176&lt;=0,I176&lt;=0),"VIOLAZIONE",IF(OR(H176&lt;IF(ROW()=2,IMPOSTAZIONI!$B$3,B175)*0.01,I176&lt;IMPOSTAZIONI!$B$3*0.02),"ATTENZIONE","OK")))</f>
        <v/>
      </c>
    </row>
    <row r="177">
      <c r="A177" s="20" t="n"/>
      <c r="B177" s="21" t="n"/>
      <c r="C177" s="21" t="n"/>
      <c r="D177" s="16" t="n"/>
      <c r="E177" s="17">
        <f>IF($B177="","",B177-IF(ROW()=2,IMPOSTAZIONI!$B$3,B176)+IF(C177="",0,C177))</f>
        <v/>
      </c>
      <c r="F177" s="18">
        <f>IF($B177="","",E177/IF(ROW()=2,IMPOSTAZIONI!$B$3,B176))</f>
        <v/>
      </c>
      <c r="G177" s="17">
        <f>IF($B177="","",IF(ROW()=2,IMPOSTAZIONI!$B$3,B176)*IMPOSTAZIONI!$B$4)</f>
        <v/>
      </c>
      <c r="H177" s="17">
        <f>IF($B177="","",G177+MIN(0,IF(D177="",E177,MIN(E177,D177-IF(ROW()=2,IMPOSTAZIONI!$B$3,B176)))))</f>
        <v/>
      </c>
      <c r="I177" s="17">
        <f>IF($B177="","",IF(D177="",B177,MIN(B177,D177))-IMPOSTAZIONI!$B$10)</f>
        <v/>
      </c>
      <c r="J177" s="17">
        <f>IF($B177="","",B177-IMPOSTAZIONI!$B$3)</f>
        <v/>
      </c>
      <c r="K177" s="19">
        <f>IF($B177="","",IF(OR(H177&lt;=0,I177&lt;=0),"VIOLAZIONE",IF(OR(H177&lt;IF(ROW()=2,IMPOSTAZIONI!$B$3,B176)*0.01,I177&lt;IMPOSTAZIONI!$B$3*0.02),"ATTENZIONE","OK")))</f>
        <v/>
      </c>
    </row>
    <row r="178">
      <c r="A178" s="20" t="n"/>
      <c r="B178" s="21" t="n"/>
      <c r="C178" s="21" t="n"/>
      <c r="D178" s="16" t="n"/>
      <c r="E178" s="17">
        <f>IF($B178="","",B178-IF(ROW()=2,IMPOSTAZIONI!$B$3,B177)+IF(C178="",0,C178))</f>
        <v/>
      </c>
      <c r="F178" s="18">
        <f>IF($B178="","",E178/IF(ROW()=2,IMPOSTAZIONI!$B$3,B177))</f>
        <v/>
      </c>
      <c r="G178" s="17">
        <f>IF($B178="","",IF(ROW()=2,IMPOSTAZIONI!$B$3,B177)*IMPOSTAZIONI!$B$4)</f>
        <v/>
      </c>
      <c r="H178" s="17">
        <f>IF($B178="","",G178+MIN(0,IF(D178="",E178,MIN(E178,D178-IF(ROW()=2,IMPOSTAZIONI!$B$3,B177)))))</f>
        <v/>
      </c>
      <c r="I178" s="17">
        <f>IF($B178="","",IF(D178="",B178,MIN(B178,D178))-IMPOSTAZIONI!$B$10)</f>
        <v/>
      </c>
      <c r="J178" s="17">
        <f>IF($B178="","",B178-IMPOSTAZIONI!$B$3)</f>
        <v/>
      </c>
      <c r="K178" s="19">
        <f>IF($B178="","",IF(OR(H178&lt;=0,I178&lt;=0),"VIOLAZIONE",IF(OR(H178&lt;IF(ROW()=2,IMPOSTAZIONI!$B$3,B177)*0.01,I178&lt;IMPOSTAZIONI!$B$3*0.02),"ATTENZIONE","OK")))</f>
        <v/>
      </c>
    </row>
    <row r="179">
      <c r="A179" s="20" t="n"/>
      <c r="B179" s="21" t="n"/>
      <c r="C179" s="21" t="n"/>
      <c r="D179" s="16" t="n"/>
      <c r="E179" s="17">
        <f>IF($B179="","",B179-IF(ROW()=2,IMPOSTAZIONI!$B$3,B178)+IF(C179="",0,C179))</f>
        <v/>
      </c>
      <c r="F179" s="18">
        <f>IF($B179="","",E179/IF(ROW()=2,IMPOSTAZIONI!$B$3,B178))</f>
        <v/>
      </c>
      <c r="G179" s="17">
        <f>IF($B179="","",IF(ROW()=2,IMPOSTAZIONI!$B$3,B178)*IMPOSTAZIONI!$B$4)</f>
        <v/>
      </c>
      <c r="H179" s="17">
        <f>IF($B179="","",G179+MIN(0,IF(D179="",E179,MIN(E179,D179-IF(ROW()=2,IMPOSTAZIONI!$B$3,B178)))))</f>
        <v/>
      </c>
      <c r="I179" s="17">
        <f>IF($B179="","",IF(D179="",B179,MIN(B179,D179))-IMPOSTAZIONI!$B$10)</f>
        <v/>
      </c>
      <c r="J179" s="17">
        <f>IF($B179="","",B179-IMPOSTAZIONI!$B$3)</f>
        <v/>
      </c>
      <c r="K179" s="19">
        <f>IF($B179="","",IF(OR(H179&lt;=0,I179&lt;=0),"VIOLAZIONE",IF(OR(H179&lt;IF(ROW()=2,IMPOSTAZIONI!$B$3,B178)*0.01,I179&lt;IMPOSTAZIONI!$B$3*0.02),"ATTENZIONE","OK")))</f>
        <v/>
      </c>
    </row>
    <row r="180">
      <c r="A180" s="20" t="n"/>
      <c r="B180" s="21" t="n"/>
      <c r="C180" s="21" t="n"/>
      <c r="D180" s="16" t="n"/>
      <c r="E180" s="17">
        <f>IF($B180="","",B180-IF(ROW()=2,IMPOSTAZIONI!$B$3,B179)+IF(C180="",0,C180))</f>
        <v/>
      </c>
      <c r="F180" s="18">
        <f>IF($B180="","",E180/IF(ROW()=2,IMPOSTAZIONI!$B$3,B179))</f>
        <v/>
      </c>
      <c r="G180" s="17">
        <f>IF($B180="","",IF(ROW()=2,IMPOSTAZIONI!$B$3,B179)*IMPOSTAZIONI!$B$4)</f>
        <v/>
      </c>
      <c r="H180" s="17">
        <f>IF($B180="","",G180+MIN(0,IF(D180="",E180,MIN(E180,D180-IF(ROW()=2,IMPOSTAZIONI!$B$3,B179)))))</f>
        <v/>
      </c>
      <c r="I180" s="17">
        <f>IF($B180="","",IF(D180="",B180,MIN(B180,D180))-IMPOSTAZIONI!$B$10)</f>
        <v/>
      </c>
      <c r="J180" s="17">
        <f>IF($B180="","",B180-IMPOSTAZIONI!$B$3)</f>
        <v/>
      </c>
      <c r="K180" s="19">
        <f>IF($B180="","",IF(OR(H180&lt;=0,I180&lt;=0),"VIOLAZIONE",IF(OR(H180&lt;IF(ROW()=2,IMPOSTAZIONI!$B$3,B179)*0.01,I180&lt;IMPOSTAZIONI!$B$3*0.02),"ATTENZIONE","OK")))</f>
        <v/>
      </c>
    </row>
    <row r="181">
      <c r="A181" s="20" t="n"/>
      <c r="B181" s="21" t="n"/>
      <c r="C181" s="21" t="n"/>
      <c r="D181" s="16" t="n"/>
      <c r="E181" s="17">
        <f>IF($B181="","",B181-IF(ROW()=2,IMPOSTAZIONI!$B$3,B180)+IF(C181="",0,C181))</f>
        <v/>
      </c>
      <c r="F181" s="18">
        <f>IF($B181="","",E181/IF(ROW()=2,IMPOSTAZIONI!$B$3,B180))</f>
        <v/>
      </c>
      <c r="G181" s="17">
        <f>IF($B181="","",IF(ROW()=2,IMPOSTAZIONI!$B$3,B180)*IMPOSTAZIONI!$B$4)</f>
        <v/>
      </c>
      <c r="H181" s="17">
        <f>IF($B181="","",G181+MIN(0,IF(D181="",E181,MIN(E181,D181-IF(ROW()=2,IMPOSTAZIONI!$B$3,B180)))))</f>
        <v/>
      </c>
      <c r="I181" s="17">
        <f>IF($B181="","",IF(D181="",B181,MIN(B181,D181))-IMPOSTAZIONI!$B$10)</f>
        <v/>
      </c>
      <c r="J181" s="17">
        <f>IF($B181="","",B181-IMPOSTAZIONI!$B$3)</f>
        <v/>
      </c>
      <c r="K181" s="19">
        <f>IF($B181="","",IF(OR(H181&lt;=0,I181&lt;=0),"VIOLAZIONE",IF(OR(H181&lt;IF(ROW()=2,IMPOSTAZIONI!$B$3,B180)*0.01,I181&lt;IMPOSTAZIONI!$B$3*0.02),"ATTENZIONE","OK")))</f>
        <v/>
      </c>
    </row>
    <row r="182">
      <c r="A182" s="20" t="n"/>
      <c r="B182" s="21" t="n"/>
      <c r="C182" s="21" t="n"/>
      <c r="D182" s="16" t="n"/>
      <c r="E182" s="17">
        <f>IF($B182="","",B182-IF(ROW()=2,IMPOSTAZIONI!$B$3,B181)+IF(C182="",0,C182))</f>
        <v/>
      </c>
      <c r="F182" s="18">
        <f>IF($B182="","",E182/IF(ROW()=2,IMPOSTAZIONI!$B$3,B181))</f>
        <v/>
      </c>
      <c r="G182" s="17">
        <f>IF($B182="","",IF(ROW()=2,IMPOSTAZIONI!$B$3,B181)*IMPOSTAZIONI!$B$4)</f>
        <v/>
      </c>
      <c r="H182" s="17">
        <f>IF($B182="","",G182+MIN(0,IF(D182="",E182,MIN(E182,D182-IF(ROW()=2,IMPOSTAZIONI!$B$3,B181)))))</f>
        <v/>
      </c>
      <c r="I182" s="17">
        <f>IF($B182="","",IF(D182="",B182,MIN(B182,D182))-IMPOSTAZIONI!$B$10)</f>
        <v/>
      </c>
      <c r="J182" s="17">
        <f>IF($B182="","",B182-IMPOSTAZIONI!$B$3)</f>
        <v/>
      </c>
      <c r="K182" s="19">
        <f>IF($B182="","",IF(OR(H182&lt;=0,I182&lt;=0),"VIOLAZIONE",IF(OR(H182&lt;IF(ROW()=2,IMPOSTAZIONI!$B$3,B181)*0.01,I182&lt;IMPOSTAZIONI!$B$3*0.02),"ATTENZIONE","OK")))</f>
        <v/>
      </c>
    </row>
    <row r="183">
      <c r="A183" s="20" t="n"/>
      <c r="B183" s="21" t="n"/>
      <c r="C183" s="21" t="n"/>
      <c r="D183" s="16" t="n"/>
      <c r="E183" s="17">
        <f>IF($B183="","",B183-IF(ROW()=2,IMPOSTAZIONI!$B$3,B182)+IF(C183="",0,C183))</f>
        <v/>
      </c>
      <c r="F183" s="18">
        <f>IF($B183="","",E183/IF(ROW()=2,IMPOSTAZIONI!$B$3,B182))</f>
        <v/>
      </c>
      <c r="G183" s="17">
        <f>IF($B183="","",IF(ROW()=2,IMPOSTAZIONI!$B$3,B182)*IMPOSTAZIONI!$B$4)</f>
        <v/>
      </c>
      <c r="H183" s="17">
        <f>IF($B183="","",G183+MIN(0,IF(D183="",E183,MIN(E183,D183-IF(ROW()=2,IMPOSTAZIONI!$B$3,B182)))))</f>
        <v/>
      </c>
      <c r="I183" s="17">
        <f>IF($B183="","",IF(D183="",B183,MIN(B183,D183))-IMPOSTAZIONI!$B$10)</f>
        <v/>
      </c>
      <c r="J183" s="17">
        <f>IF($B183="","",B183-IMPOSTAZIONI!$B$3)</f>
        <v/>
      </c>
      <c r="K183" s="19">
        <f>IF($B183="","",IF(OR(H183&lt;=0,I183&lt;=0),"VIOLAZIONE",IF(OR(H183&lt;IF(ROW()=2,IMPOSTAZIONI!$B$3,B182)*0.01,I183&lt;IMPOSTAZIONI!$B$3*0.02),"ATTENZIONE","OK")))</f>
        <v/>
      </c>
    </row>
    <row r="184">
      <c r="A184" s="20" t="n"/>
      <c r="B184" s="21" t="n"/>
      <c r="C184" s="21" t="n"/>
      <c r="D184" s="16" t="n"/>
      <c r="E184" s="17">
        <f>IF($B184="","",B184-IF(ROW()=2,IMPOSTAZIONI!$B$3,B183)+IF(C184="",0,C184))</f>
        <v/>
      </c>
      <c r="F184" s="18">
        <f>IF($B184="","",E184/IF(ROW()=2,IMPOSTAZIONI!$B$3,B183))</f>
        <v/>
      </c>
      <c r="G184" s="17">
        <f>IF($B184="","",IF(ROW()=2,IMPOSTAZIONI!$B$3,B183)*IMPOSTAZIONI!$B$4)</f>
        <v/>
      </c>
      <c r="H184" s="17">
        <f>IF($B184="","",G184+MIN(0,IF(D184="",E184,MIN(E184,D184-IF(ROW()=2,IMPOSTAZIONI!$B$3,B183)))))</f>
        <v/>
      </c>
      <c r="I184" s="17">
        <f>IF($B184="","",IF(D184="",B184,MIN(B184,D184))-IMPOSTAZIONI!$B$10)</f>
        <v/>
      </c>
      <c r="J184" s="17">
        <f>IF($B184="","",B184-IMPOSTAZIONI!$B$3)</f>
        <v/>
      </c>
      <c r="K184" s="19">
        <f>IF($B184="","",IF(OR(H184&lt;=0,I184&lt;=0),"VIOLAZIONE",IF(OR(H184&lt;IF(ROW()=2,IMPOSTAZIONI!$B$3,B183)*0.01,I184&lt;IMPOSTAZIONI!$B$3*0.02),"ATTENZIONE","OK")))</f>
        <v/>
      </c>
    </row>
    <row r="185">
      <c r="A185" s="20" t="n"/>
      <c r="B185" s="21" t="n"/>
      <c r="C185" s="21" t="n"/>
      <c r="D185" s="16" t="n"/>
      <c r="E185" s="17">
        <f>IF($B185="","",B185-IF(ROW()=2,IMPOSTAZIONI!$B$3,B184)+IF(C185="",0,C185))</f>
        <v/>
      </c>
      <c r="F185" s="18">
        <f>IF($B185="","",E185/IF(ROW()=2,IMPOSTAZIONI!$B$3,B184))</f>
        <v/>
      </c>
      <c r="G185" s="17">
        <f>IF($B185="","",IF(ROW()=2,IMPOSTAZIONI!$B$3,B184)*IMPOSTAZIONI!$B$4)</f>
        <v/>
      </c>
      <c r="H185" s="17">
        <f>IF($B185="","",G185+MIN(0,IF(D185="",E185,MIN(E185,D185-IF(ROW()=2,IMPOSTAZIONI!$B$3,B184)))))</f>
        <v/>
      </c>
      <c r="I185" s="17">
        <f>IF($B185="","",IF(D185="",B185,MIN(B185,D185))-IMPOSTAZIONI!$B$10)</f>
        <v/>
      </c>
      <c r="J185" s="17">
        <f>IF($B185="","",B185-IMPOSTAZIONI!$B$3)</f>
        <v/>
      </c>
      <c r="K185" s="19">
        <f>IF($B185="","",IF(OR(H185&lt;=0,I185&lt;=0),"VIOLAZIONE",IF(OR(H185&lt;IF(ROW()=2,IMPOSTAZIONI!$B$3,B184)*0.01,I185&lt;IMPOSTAZIONI!$B$3*0.02),"ATTENZIONE","OK")))</f>
        <v/>
      </c>
    </row>
    <row r="186">
      <c r="A186" s="20" t="n"/>
      <c r="B186" s="21" t="n"/>
      <c r="C186" s="21" t="n"/>
      <c r="D186" s="16" t="n"/>
      <c r="E186" s="17">
        <f>IF($B186="","",B186-IF(ROW()=2,IMPOSTAZIONI!$B$3,B185)+IF(C186="",0,C186))</f>
        <v/>
      </c>
      <c r="F186" s="18">
        <f>IF($B186="","",E186/IF(ROW()=2,IMPOSTAZIONI!$B$3,B185))</f>
        <v/>
      </c>
      <c r="G186" s="17">
        <f>IF($B186="","",IF(ROW()=2,IMPOSTAZIONI!$B$3,B185)*IMPOSTAZIONI!$B$4)</f>
        <v/>
      </c>
      <c r="H186" s="17">
        <f>IF($B186="","",G186+MIN(0,IF(D186="",E186,MIN(E186,D186-IF(ROW()=2,IMPOSTAZIONI!$B$3,B185)))))</f>
        <v/>
      </c>
      <c r="I186" s="17">
        <f>IF($B186="","",IF(D186="",B186,MIN(B186,D186))-IMPOSTAZIONI!$B$10)</f>
        <v/>
      </c>
      <c r="J186" s="17">
        <f>IF($B186="","",B186-IMPOSTAZIONI!$B$3)</f>
        <v/>
      </c>
      <c r="K186" s="19">
        <f>IF($B186="","",IF(OR(H186&lt;=0,I186&lt;=0),"VIOLAZIONE",IF(OR(H186&lt;IF(ROW()=2,IMPOSTAZIONI!$B$3,B185)*0.01,I186&lt;IMPOSTAZIONI!$B$3*0.02),"ATTENZIONE","OK")))</f>
        <v/>
      </c>
    </row>
    <row r="187">
      <c r="A187" s="20" t="n"/>
      <c r="B187" s="21" t="n"/>
      <c r="C187" s="21" t="n"/>
      <c r="D187" s="16" t="n"/>
      <c r="E187" s="17">
        <f>IF($B187="","",B187-IF(ROW()=2,IMPOSTAZIONI!$B$3,B186)+IF(C187="",0,C187))</f>
        <v/>
      </c>
      <c r="F187" s="18">
        <f>IF($B187="","",E187/IF(ROW()=2,IMPOSTAZIONI!$B$3,B186))</f>
        <v/>
      </c>
      <c r="G187" s="17">
        <f>IF($B187="","",IF(ROW()=2,IMPOSTAZIONI!$B$3,B186)*IMPOSTAZIONI!$B$4)</f>
        <v/>
      </c>
      <c r="H187" s="17">
        <f>IF($B187="","",G187+MIN(0,IF(D187="",E187,MIN(E187,D187-IF(ROW()=2,IMPOSTAZIONI!$B$3,B186)))))</f>
        <v/>
      </c>
      <c r="I187" s="17">
        <f>IF($B187="","",IF(D187="",B187,MIN(B187,D187))-IMPOSTAZIONI!$B$10)</f>
        <v/>
      </c>
      <c r="J187" s="17">
        <f>IF($B187="","",B187-IMPOSTAZIONI!$B$3)</f>
        <v/>
      </c>
      <c r="K187" s="19">
        <f>IF($B187="","",IF(OR(H187&lt;=0,I187&lt;=0),"VIOLAZIONE",IF(OR(H187&lt;IF(ROW()=2,IMPOSTAZIONI!$B$3,B186)*0.01,I187&lt;IMPOSTAZIONI!$B$3*0.02),"ATTENZIONE","OK")))</f>
        <v/>
      </c>
    </row>
    <row r="188">
      <c r="A188" s="20" t="n"/>
      <c r="B188" s="21" t="n"/>
      <c r="C188" s="21" t="n"/>
      <c r="D188" s="16" t="n"/>
      <c r="E188" s="17">
        <f>IF($B188="","",B188-IF(ROW()=2,IMPOSTAZIONI!$B$3,B187)+IF(C188="",0,C188))</f>
        <v/>
      </c>
      <c r="F188" s="18">
        <f>IF($B188="","",E188/IF(ROW()=2,IMPOSTAZIONI!$B$3,B187))</f>
        <v/>
      </c>
      <c r="G188" s="17">
        <f>IF($B188="","",IF(ROW()=2,IMPOSTAZIONI!$B$3,B187)*IMPOSTAZIONI!$B$4)</f>
        <v/>
      </c>
      <c r="H188" s="17">
        <f>IF($B188="","",G188+MIN(0,IF(D188="",E188,MIN(E188,D188-IF(ROW()=2,IMPOSTAZIONI!$B$3,B187)))))</f>
        <v/>
      </c>
      <c r="I188" s="17">
        <f>IF($B188="","",IF(D188="",B188,MIN(B188,D188))-IMPOSTAZIONI!$B$10)</f>
        <v/>
      </c>
      <c r="J188" s="17">
        <f>IF($B188="","",B188-IMPOSTAZIONI!$B$3)</f>
        <v/>
      </c>
      <c r="K188" s="19">
        <f>IF($B188="","",IF(OR(H188&lt;=0,I188&lt;=0),"VIOLAZIONE",IF(OR(H188&lt;IF(ROW()=2,IMPOSTAZIONI!$B$3,B187)*0.01,I188&lt;IMPOSTAZIONI!$B$3*0.02),"ATTENZIONE","OK")))</f>
        <v/>
      </c>
    </row>
    <row r="189">
      <c r="A189" s="20" t="n"/>
      <c r="B189" s="21" t="n"/>
      <c r="C189" s="21" t="n"/>
      <c r="D189" s="16" t="n"/>
      <c r="E189" s="17">
        <f>IF($B189="","",B189-IF(ROW()=2,IMPOSTAZIONI!$B$3,B188)+IF(C189="",0,C189))</f>
        <v/>
      </c>
      <c r="F189" s="18">
        <f>IF($B189="","",E189/IF(ROW()=2,IMPOSTAZIONI!$B$3,B188))</f>
        <v/>
      </c>
      <c r="G189" s="17">
        <f>IF($B189="","",IF(ROW()=2,IMPOSTAZIONI!$B$3,B188)*IMPOSTAZIONI!$B$4)</f>
        <v/>
      </c>
      <c r="H189" s="17">
        <f>IF($B189="","",G189+MIN(0,IF(D189="",E189,MIN(E189,D189-IF(ROW()=2,IMPOSTAZIONI!$B$3,B188)))))</f>
        <v/>
      </c>
      <c r="I189" s="17">
        <f>IF($B189="","",IF(D189="",B189,MIN(B189,D189))-IMPOSTAZIONI!$B$10)</f>
        <v/>
      </c>
      <c r="J189" s="17">
        <f>IF($B189="","",B189-IMPOSTAZIONI!$B$3)</f>
        <v/>
      </c>
      <c r="K189" s="19">
        <f>IF($B189="","",IF(OR(H189&lt;=0,I189&lt;=0),"VIOLAZIONE",IF(OR(H189&lt;IF(ROW()=2,IMPOSTAZIONI!$B$3,B188)*0.01,I189&lt;IMPOSTAZIONI!$B$3*0.02),"ATTENZIONE","OK")))</f>
        <v/>
      </c>
    </row>
    <row r="190">
      <c r="A190" s="20" t="n"/>
      <c r="B190" s="21" t="n"/>
      <c r="C190" s="21" t="n"/>
      <c r="D190" s="16" t="n"/>
      <c r="E190" s="17">
        <f>IF($B190="","",B190-IF(ROW()=2,IMPOSTAZIONI!$B$3,B189)+IF(C190="",0,C190))</f>
        <v/>
      </c>
      <c r="F190" s="18">
        <f>IF($B190="","",E190/IF(ROW()=2,IMPOSTAZIONI!$B$3,B189))</f>
        <v/>
      </c>
      <c r="G190" s="17">
        <f>IF($B190="","",IF(ROW()=2,IMPOSTAZIONI!$B$3,B189)*IMPOSTAZIONI!$B$4)</f>
        <v/>
      </c>
      <c r="H190" s="17">
        <f>IF($B190="","",G190+MIN(0,IF(D190="",E190,MIN(E190,D190-IF(ROW()=2,IMPOSTAZIONI!$B$3,B189)))))</f>
        <v/>
      </c>
      <c r="I190" s="17">
        <f>IF($B190="","",IF(D190="",B190,MIN(B190,D190))-IMPOSTAZIONI!$B$10)</f>
        <v/>
      </c>
      <c r="J190" s="17">
        <f>IF($B190="","",B190-IMPOSTAZIONI!$B$3)</f>
        <v/>
      </c>
      <c r="K190" s="19">
        <f>IF($B190="","",IF(OR(H190&lt;=0,I190&lt;=0),"VIOLAZIONE",IF(OR(H190&lt;IF(ROW()=2,IMPOSTAZIONI!$B$3,B189)*0.01,I190&lt;IMPOSTAZIONI!$B$3*0.02),"ATTENZIONE","OK")))</f>
        <v/>
      </c>
    </row>
    <row r="191">
      <c r="A191" s="20" t="n"/>
      <c r="B191" s="21" t="n"/>
      <c r="C191" s="21" t="n"/>
      <c r="D191" s="16" t="n"/>
      <c r="E191" s="17">
        <f>IF($B191="","",B191-IF(ROW()=2,IMPOSTAZIONI!$B$3,B190)+IF(C191="",0,C191))</f>
        <v/>
      </c>
      <c r="F191" s="18">
        <f>IF($B191="","",E191/IF(ROW()=2,IMPOSTAZIONI!$B$3,B190))</f>
        <v/>
      </c>
      <c r="G191" s="17">
        <f>IF($B191="","",IF(ROW()=2,IMPOSTAZIONI!$B$3,B190)*IMPOSTAZIONI!$B$4)</f>
        <v/>
      </c>
      <c r="H191" s="17">
        <f>IF($B191="","",G191+MIN(0,IF(D191="",E191,MIN(E191,D191-IF(ROW()=2,IMPOSTAZIONI!$B$3,B190)))))</f>
        <v/>
      </c>
      <c r="I191" s="17">
        <f>IF($B191="","",IF(D191="",B191,MIN(B191,D191))-IMPOSTAZIONI!$B$10)</f>
        <v/>
      </c>
      <c r="J191" s="17">
        <f>IF($B191="","",B191-IMPOSTAZIONI!$B$3)</f>
        <v/>
      </c>
      <c r="K191" s="19">
        <f>IF($B191="","",IF(OR(H191&lt;=0,I191&lt;=0),"VIOLAZIONE",IF(OR(H191&lt;IF(ROW()=2,IMPOSTAZIONI!$B$3,B190)*0.01,I191&lt;IMPOSTAZIONI!$B$3*0.02),"ATTENZIONE","OK")))</f>
        <v/>
      </c>
    </row>
    <row r="192">
      <c r="A192" s="20" t="n"/>
      <c r="B192" s="21" t="n"/>
      <c r="C192" s="21" t="n"/>
      <c r="D192" s="16" t="n"/>
      <c r="E192" s="17">
        <f>IF($B192="","",B192-IF(ROW()=2,IMPOSTAZIONI!$B$3,B191)+IF(C192="",0,C192))</f>
        <v/>
      </c>
      <c r="F192" s="18">
        <f>IF($B192="","",E192/IF(ROW()=2,IMPOSTAZIONI!$B$3,B191))</f>
        <v/>
      </c>
      <c r="G192" s="17">
        <f>IF($B192="","",IF(ROW()=2,IMPOSTAZIONI!$B$3,B191)*IMPOSTAZIONI!$B$4)</f>
        <v/>
      </c>
      <c r="H192" s="17">
        <f>IF($B192="","",G192+MIN(0,IF(D192="",E192,MIN(E192,D192-IF(ROW()=2,IMPOSTAZIONI!$B$3,B191)))))</f>
        <v/>
      </c>
      <c r="I192" s="17">
        <f>IF($B192="","",IF(D192="",B192,MIN(B192,D192))-IMPOSTAZIONI!$B$10)</f>
        <v/>
      </c>
      <c r="J192" s="17">
        <f>IF($B192="","",B192-IMPOSTAZIONI!$B$3)</f>
        <v/>
      </c>
      <c r="K192" s="19">
        <f>IF($B192="","",IF(OR(H192&lt;=0,I192&lt;=0),"VIOLAZIONE",IF(OR(H192&lt;IF(ROW()=2,IMPOSTAZIONI!$B$3,B191)*0.01,I192&lt;IMPOSTAZIONI!$B$3*0.02),"ATTENZIONE","OK")))</f>
        <v/>
      </c>
    </row>
    <row r="193">
      <c r="A193" s="20" t="n"/>
      <c r="B193" s="21" t="n"/>
      <c r="C193" s="21" t="n"/>
      <c r="D193" s="16" t="n"/>
      <c r="E193" s="17">
        <f>IF($B193="","",B193-IF(ROW()=2,IMPOSTAZIONI!$B$3,B192)+IF(C193="",0,C193))</f>
        <v/>
      </c>
      <c r="F193" s="18">
        <f>IF($B193="","",E193/IF(ROW()=2,IMPOSTAZIONI!$B$3,B192))</f>
        <v/>
      </c>
      <c r="G193" s="17">
        <f>IF($B193="","",IF(ROW()=2,IMPOSTAZIONI!$B$3,B192)*IMPOSTAZIONI!$B$4)</f>
        <v/>
      </c>
      <c r="H193" s="17">
        <f>IF($B193="","",G193+MIN(0,IF(D193="",E193,MIN(E193,D193-IF(ROW()=2,IMPOSTAZIONI!$B$3,B192)))))</f>
        <v/>
      </c>
      <c r="I193" s="17">
        <f>IF($B193="","",IF(D193="",B193,MIN(B193,D193))-IMPOSTAZIONI!$B$10)</f>
        <v/>
      </c>
      <c r="J193" s="17">
        <f>IF($B193="","",B193-IMPOSTAZIONI!$B$3)</f>
        <v/>
      </c>
      <c r="K193" s="19">
        <f>IF($B193="","",IF(OR(H193&lt;=0,I193&lt;=0),"VIOLAZIONE",IF(OR(H193&lt;IF(ROW()=2,IMPOSTAZIONI!$B$3,B192)*0.01,I193&lt;IMPOSTAZIONI!$B$3*0.02),"ATTENZIONE","OK")))</f>
        <v/>
      </c>
    </row>
    <row r="194">
      <c r="A194" s="20" t="n"/>
      <c r="B194" s="21" t="n"/>
      <c r="C194" s="21" t="n"/>
      <c r="D194" s="16" t="n"/>
      <c r="E194" s="17">
        <f>IF($B194="","",B194-IF(ROW()=2,IMPOSTAZIONI!$B$3,B193)+IF(C194="",0,C194))</f>
        <v/>
      </c>
      <c r="F194" s="18">
        <f>IF($B194="","",E194/IF(ROW()=2,IMPOSTAZIONI!$B$3,B193))</f>
        <v/>
      </c>
      <c r="G194" s="17">
        <f>IF($B194="","",IF(ROW()=2,IMPOSTAZIONI!$B$3,B193)*IMPOSTAZIONI!$B$4)</f>
        <v/>
      </c>
      <c r="H194" s="17">
        <f>IF($B194="","",G194+MIN(0,IF(D194="",E194,MIN(E194,D194-IF(ROW()=2,IMPOSTAZIONI!$B$3,B193)))))</f>
        <v/>
      </c>
      <c r="I194" s="17">
        <f>IF($B194="","",IF(D194="",B194,MIN(B194,D194))-IMPOSTAZIONI!$B$10)</f>
        <v/>
      </c>
      <c r="J194" s="17">
        <f>IF($B194="","",B194-IMPOSTAZIONI!$B$3)</f>
        <v/>
      </c>
      <c r="K194" s="19">
        <f>IF($B194="","",IF(OR(H194&lt;=0,I194&lt;=0),"VIOLAZIONE",IF(OR(H194&lt;IF(ROW()=2,IMPOSTAZIONI!$B$3,B193)*0.01,I194&lt;IMPOSTAZIONI!$B$3*0.02),"ATTENZIONE","OK")))</f>
        <v/>
      </c>
    </row>
    <row r="195">
      <c r="A195" s="20" t="n"/>
      <c r="B195" s="21" t="n"/>
      <c r="C195" s="21" t="n"/>
      <c r="D195" s="16" t="n"/>
      <c r="E195" s="17">
        <f>IF($B195="","",B195-IF(ROW()=2,IMPOSTAZIONI!$B$3,B194)+IF(C195="",0,C195))</f>
        <v/>
      </c>
      <c r="F195" s="18">
        <f>IF($B195="","",E195/IF(ROW()=2,IMPOSTAZIONI!$B$3,B194))</f>
        <v/>
      </c>
      <c r="G195" s="17">
        <f>IF($B195="","",IF(ROW()=2,IMPOSTAZIONI!$B$3,B194)*IMPOSTAZIONI!$B$4)</f>
        <v/>
      </c>
      <c r="H195" s="17">
        <f>IF($B195="","",G195+MIN(0,IF(D195="",E195,MIN(E195,D195-IF(ROW()=2,IMPOSTAZIONI!$B$3,B194)))))</f>
        <v/>
      </c>
      <c r="I195" s="17">
        <f>IF($B195="","",IF(D195="",B195,MIN(B195,D195))-IMPOSTAZIONI!$B$10)</f>
        <v/>
      </c>
      <c r="J195" s="17">
        <f>IF($B195="","",B195-IMPOSTAZIONI!$B$3)</f>
        <v/>
      </c>
      <c r="K195" s="19">
        <f>IF($B195="","",IF(OR(H195&lt;=0,I195&lt;=0),"VIOLAZIONE",IF(OR(H195&lt;IF(ROW()=2,IMPOSTAZIONI!$B$3,B194)*0.01,I195&lt;IMPOSTAZIONI!$B$3*0.02),"ATTENZIONE","OK")))</f>
        <v/>
      </c>
    </row>
    <row r="196">
      <c r="A196" s="20" t="n"/>
      <c r="B196" s="21" t="n"/>
      <c r="C196" s="21" t="n"/>
      <c r="D196" s="16" t="n"/>
      <c r="E196" s="17">
        <f>IF($B196="","",B196-IF(ROW()=2,IMPOSTAZIONI!$B$3,B195)+IF(C196="",0,C196))</f>
        <v/>
      </c>
      <c r="F196" s="18">
        <f>IF($B196="","",E196/IF(ROW()=2,IMPOSTAZIONI!$B$3,B195))</f>
        <v/>
      </c>
      <c r="G196" s="17">
        <f>IF($B196="","",IF(ROW()=2,IMPOSTAZIONI!$B$3,B195)*IMPOSTAZIONI!$B$4)</f>
        <v/>
      </c>
      <c r="H196" s="17">
        <f>IF($B196="","",G196+MIN(0,IF(D196="",E196,MIN(E196,D196-IF(ROW()=2,IMPOSTAZIONI!$B$3,B195)))))</f>
        <v/>
      </c>
      <c r="I196" s="17">
        <f>IF($B196="","",IF(D196="",B196,MIN(B196,D196))-IMPOSTAZIONI!$B$10)</f>
        <v/>
      </c>
      <c r="J196" s="17">
        <f>IF($B196="","",B196-IMPOSTAZIONI!$B$3)</f>
        <v/>
      </c>
      <c r="K196" s="19">
        <f>IF($B196="","",IF(OR(H196&lt;=0,I196&lt;=0),"VIOLAZIONE",IF(OR(H196&lt;IF(ROW()=2,IMPOSTAZIONI!$B$3,B195)*0.01,I196&lt;IMPOSTAZIONI!$B$3*0.02),"ATTENZIONE","OK")))</f>
        <v/>
      </c>
    </row>
    <row r="197">
      <c r="A197" s="20" t="n"/>
      <c r="B197" s="21" t="n"/>
      <c r="C197" s="21" t="n"/>
      <c r="D197" s="16" t="n"/>
      <c r="E197" s="17">
        <f>IF($B197="","",B197-IF(ROW()=2,IMPOSTAZIONI!$B$3,B196)+IF(C197="",0,C197))</f>
        <v/>
      </c>
      <c r="F197" s="18">
        <f>IF($B197="","",E197/IF(ROW()=2,IMPOSTAZIONI!$B$3,B196))</f>
        <v/>
      </c>
      <c r="G197" s="17">
        <f>IF($B197="","",IF(ROW()=2,IMPOSTAZIONI!$B$3,B196)*IMPOSTAZIONI!$B$4)</f>
        <v/>
      </c>
      <c r="H197" s="17">
        <f>IF($B197="","",G197+MIN(0,IF(D197="",E197,MIN(E197,D197-IF(ROW()=2,IMPOSTAZIONI!$B$3,B196)))))</f>
        <v/>
      </c>
      <c r="I197" s="17">
        <f>IF($B197="","",IF(D197="",B197,MIN(B197,D197))-IMPOSTAZIONI!$B$10)</f>
        <v/>
      </c>
      <c r="J197" s="17">
        <f>IF($B197="","",B197-IMPOSTAZIONI!$B$3)</f>
        <v/>
      </c>
      <c r="K197" s="19">
        <f>IF($B197="","",IF(OR(H197&lt;=0,I197&lt;=0),"VIOLAZIONE",IF(OR(H197&lt;IF(ROW()=2,IMPOSTAZIONI!$B$3,B196)*0.01,I197&lt;IMPOSTAZIONI!$B$3*0.02),"ATTENZIONE","OK")))</f>
        <v/>
      </c>
    </row>
    <row r="198">
      <c r="A198" s="20" t="n"/>
      <c r="B198" s="21" t="n"/>
      <c r="C198" s="21" t="n"/>
      <c r="D198" s="16" t="n"/>
      <c r="E198" s="17">
        <f>IF($B198="","",B198-IF(ROW()=2,IMPOSTAZIONI!$B$3,B197)+IF(C198="",0,C198))</f>
        <v/>
      </c>
      <c r="F198" s="18">
        <f>IF($B198="","",E198/IF(ROW()=2,IMPOSTAZIONI!$B$3,B197))</f>
        <v/>
      </c>
      <c r="G198" s="17">
        <f>IF($B198="","",IF(ROW()=2,IMPOSTAZIONI!$B$3,B197)*IMPOSTAZIONI!$B$4)</f>
        <v/>
      </c>
      <c r="H198" s="17">
        <f>IF($B198="","",G198+MIN(0,IF(D198="",E198,MIN(E198,D198-IF(ROW()=2,IMPOSTAZIONI!$B$3,B197)))))</f>
        <v/>
      </c>
      <c r="I198" s="17">
        <f>IF($B198="","",IF(D198="",B198,MIN(B198,D198))-IMPOSTAZIONI!$B$10)</f>
        <v/>
      </c>
      <c r="J198" s="17">
        <f>IF($B198="","",B198-IMPOSTAZIONI!$B$3)</f>
        <v/>
      </c>
      <c r="K198" s="19">
        <f>IF($B198="","",IF(OR(H198&lt;=0,I198&lt;=0),"VIOLAZIONE",IF(OR(H198&lt;IF(ROW()=2,IMPOSTAZIONI!$B$3,B197)*0.01,I198&lt;IMPOSTAZIONI!$B$3*0.02),"ATTENZIONE","OK")))</f>
        <v/>
      </c>
    </row>
    <row r="199">
      <c r="A199" s="20" t="n"/>
      <c r="B199" s="21" t="n"/>
      <c r="C199" s="21" t="n"/>
      <c r="D199" s="16" t="n"/>
      <c r="E199" s="17">
        <f>IF($B199="","",B199-IF(ROW()=2,IMPOSTAZIONI!$B$3,B198)+IF(C199="",0,C199))</f>
        <v/>
      </c>
      <c r="F199" s="18">
        <f>IF($B199="","",E199/IF(ROW()=2,IMPOSTAZIONI!$B$3,B198))</f>
        <v/>
      </c>
      <c r="G199" s="17">
        <f>IF($B199="","",IF(ROW()=2,IMPOSTAZIONI!$B$3,B198)*IMPOSTAZIONI!$B$4)</f>
        <v/>
      </c>
      <c r="H199" s="17">
        <f>IF($B199="","",G199+MIN(0,IF(D199="",E199,MIN(E199,D199-IF(ROW()=2,IMPOSTAZIONI!$B$3,B198)))))</f>
        <v/>
      </c>
      <c r="I199" s="17">
        <f>IF($B199="","",IF(D199="",B199,MIN(B199,D199))-IMPOSTAZIONI!$B$10)</f>
        <v/>
      </c>
      <c r="J199" s="17">
        <f>IF($B199="","",B199-IMPOSTAZIONI!$B$3)</f>
        <v/>
      </c>
      <c r="K199" s="19">
        <f>IF($B199="","",IF(OR(H199&lt;=0,I199&lt;=0),"VIOLAZIONE",IF(OR(H199&lt;IF(ROW()=2,IMPOSTAZIONI!$B$3,B198)*0.01,I199&lt;IMPOSTAZIONI!$B$3*0.02),"ATTENZIONE","OK")))</f>
        <v/>
      </c>
    </row>
    <row r="200">
      <c r="A200" s="20" t="n"/>
      <c r="B200" s="21" t="n"/>
      <c r="C200" s="21" t="n"/>
      <c r="D200" s="16" t="n"/>
      <c r="E200" s="17">
        <f>IF($B200="","",B200-IF(ROW()=2,IMPOSTAZIONI!$B$3,B199)+IF(C200="",0,C200))</f>
        <v/>
      </c>
      <c r="F200" s="18">
        <f>IF($B200="","",E200/IF(ROW()=2,IMPOSTAZIONI!$B$3,B199))</f>
        <v/>
      </c>
      <c r="G200" s="17">
        <f>IF($B200="","",IF(ROW()=2,IMPOSTAZIONI!$B$3,B199)*IMPOSTAZIONI!$B$4)</f>
        <v/>
      </c>
      <c r="H200" s="17">
        <f>IF($B200="","",G200+MIN(0,IF(D200="",E200,MIN(E200,D200-IF(ROW()=2,IMPOSTAZIONI!$B$3,B199)))))</f>
        <v/>
      </c>
      <c r="I200" s="17">
        <f>IF($B200="","",IF(D200="",B200,MIN(B200,D200))-IMPOSTAZIONI!$B$10)</f>
        <v/>
      </c>
      <c r="J200" s="17">
        <f>IF($B200="","",B200-IMPOSTAZIONI!$B$3)</f>
        <v/>
      </c>
      <c r="K200" s="19">
        <f>IF($B200="","",IF(OR(H200&lt;=0,I200&lt;=0),"VIOLAZIONE",IF(OR(H200&lt;IF(ROW()=2,IMPOSTAZIONI!$B$3,B199)*0.01,I200&lt;IMPOSTAZIONI!$B$3*0.02),"ATTENZIONE","OK")))</f>
        <v/>
      </c>
    </row>
    <row r="201">
      <c r="A201" s="20" t="n"/>
      <c r="B201" s="21" t="n"/>
      <c r="C201" s="21" t="n"/>
      <c r="D201" s="16" t="n"/>
      <c r="E201" s="17">
        <f>IF($B201="","",B201-IF(ROW()=2,IMPOSTAZIONI!$B$3,B200)+IF(C201="",0,C201))</f>
        <v/>
      </c>
      <c r="F201" s="18">
        <f>IF($B201="","",E201/IF(ROW()=2,IMPOSTAZIONI!$B$3,B200))</f>
        <v/>
      </c>
      <c r="G201" s="17">
        <f>IF($B201="","",IF(ROW()=2,IMPOSTAZIONI!$B$3,B200)*IMPOSTAZIONI!$B$4)</f>
        <v/>
      </c>
      <c r="H201" s="17">
        <f>IF($B201="","",G201+MIN(0,IF(D201="",E201,MIN(E201,D201-IF(ROW()=2,IMPOSTAZIONI!$B$3,B200)))))</f>
        <v/>
      </c>
      <c r="I201" s="17">
        <f>IF($B201="","",IF(D201="",B201,MIN(B201,D201))-IMPOSTAZIONI!$B$10)</f>
        <v/>
      </c>
      <c r="J201" s="17">
        <f>IF($B201="","",B201-IMPOSTAZIONI!$B$3)</f>
        <v/>
      </c>
      <c r="K201" s="19">
        <f>IF($B201="","",IF(OR(H201&lt;=0,I201&lt;=0),"VIOLAZIONE",IF(OR(H201&lt;IF(ROW()=2,IMPOSTAZIONI!$B$3,B200)*0.01,I201&lt;IMPOSTAZIONI!$B$3*0.02),"ATTENZIONE","OK")))</f>
        <v/>
      </c>
    </row>
    <row r="202">
      <c r="A202" s="20" t="n"/>
      <c r="B202" s="21" t="n"/>
      <c r="C202" s="21" t="n"/>
      <c r="D202" s="16" t="n"/>
      <c r="E202" s="17">
        <f>IF($B202="","",B202-IF(ROW()=2,IMPOSTAZIONI!$B$3,B201)+IF(C202="",0,C202))</f>
        <v/>
      </c>
      <c r="F202" s="18">
        <f>IF($B202="","",E202/IF(ROW()=2,IMPOSTAZIONI!$B$3,B201))</f>
        <v/>
      </c>
      <c r="G202" s="17">
        <f>IF($B202="","",IF(ROW()=2,IMPOSTAZIONI!$B$3,B201)*IMPOSTAZIONI!$B$4)</f>
        <v/>
      </c>
      <c r="H202" s="17">
        <f>IF($B202="","",G202+MIN(0,IF(D202="",E202,MIN(E202,D202-IF(ROW()=2,IMPOSTAZIONI!$B$3,B201)))))</f>
        <v/>
      </c>
      <c r="I202" s="17">
        <f>IF($B202="","",IF(D202="",B202,MIN(B202,D202))-IMPOSTAZIONI!$B$10)</f>
        <v/>
      </c>
      <c r="J202" s="17">
        <f>IF($B202="","",B202-IMPOSTAZIONI!$B$3)</f>
        <v/>
      </c>
      <c r="K202" s="19">
        <f>IF($B202="","",IF(OR(H202&lt;=0,I202&lt;=0),"VIOLAZIONE",IF(OR(H202&lt;IF(ROW()=2,IMPOSTAZIONI!$B$3,B201)*0.01,I202&lt;IMPOSTAZIONI!$B$3*0.02),"ATTENZIONE","OK")))</f>
        <v/>
      </c>
    </row>
    <row r="203">
      <c r="A203" s="20" t="n"/>
      <c r="B203" s="21" t="n"/>
      <c r="C203" s="21" t="n"/>
      <c r="D203" s="16" t="n"/>
      <c r="E203" s="17">
        <f>IF($B203="","",B203-IF(ROW()=2,IMPOSTAZIONI!$B$3,B202)+IF(C203="",0,C203))</f>
        <v/>
      </c>
      <c r="F203" s="18">
        <f>IF($B203="","",E203/IF(ROW()=2,IMPOSTAZIONI!$B$3,B202))</f>
        <v/>
      </c>
      <c r="G203" s="17">
        <f>IF($B203="","",IF(ROW()=2,IMPOSTAZIONI!$B$3,B202)*IMPOSTAZIONI!$B$4)</f>
        <v/>
      </c>
      <c r="H203" s="17">
        <f>IF($B203="","",G203+MIN(0,IF(D203="",E203,MIN(E203,D203-IF(ROW()=2,IMPOSTAZIONI!$B$3,B202)))))</f>
        <v/>
      </c>
      <c r="I203" s="17">
        <f>IF($B203="","",IF(D203="",B203,MIN(B203,D203))-IMPOSTAZIONI!$B$10)</f>
        <v/>
      </c>
      <c r="J203" s="17">
        <f>IF($B203="","",B203-IMPOSTAZIONI!$B$3)</f>
        <v/>
      </c>
      <c r="K203" s="19">
        <f>IF($B203="","",IF(OR(H203&lt;=0,I203&lt;=0),"VIOLAZIONE",IF(OR(H203&lt;IF(ROW()=2,IMPOSTAZIONI!$B$3,B202)*0.01,I203&lt;IMPOSTAZIONI!$B$3*0.02),"ATTENZIONE","OK")))</f>
        <v/>
      </c>
    </row>
    <row r="204">
      <c r="A204" s="20" t="n"/>
      <c r="B204" s="21" t="n"/>
      <c r="C204" s="21" t="n"/>
      <c r="D204" s="16" t="n"/>
      <c r="E204" s="17">
        <f>IF($B204="","",B204-IF(ROW()=2,IMPOSTAZIONI!$B$3,B203)+IF(C204="",0,C204))</f>
        <v/>
      </c>
      <c r="F204" s="18">
        <f>IF($B204="","",E204/IF(ROW()=2,IMPOSTAZIONI!$B$3,B203))</f>
        <v/>
      </c>
      <c r="G204" s="17">
        <f>IF($B204="","",IF(ROW()=2,IMPOSTAZIONI!$B$3,B203)*IMPOSTAZIONI!$B$4)</f>
        <v/>
      </c>
      <c r="H204" s="17">
        <f>IF($B204="","",G204+MIN(0,IF(D204="",E204,MIN(E204,D204-IF(ROW()=2,IMPOSTAZIONI!$B$3,B203)))))</f>
        <v/>
      </c>
      <c r="I204" s="17">
        <f>IF($B204="","",IF(D204="",B204,MIN(B204,D204))-IMPOSTAZIONI!$B$10)</f>
        <v/>
      </c>
      <c r="J204" s="17">
        <f>IF($B204="","",B204-IMPOSTAZIONI!$B$3)</f>
        <v/>
      </c>
      <c r="K204" s="19">
        <f>IF($B204="","",IF(OR(H204&lt;=0,I204&lt;=0),"VIOLAZIONE",IF(OR(H204&lt;IF(ROW()=2,IMPOSTAZIONI!$B$3,B203)*0.01,I204&lt;IMPOSTAZIONI!$B$3*0.02),"ATTENZIONE","OK")))</f>
        <v/>
      </c>
    </row>
    <row r="205">
      <c r="A205" s="20" t="n"/>
      <c r="B205" s="21" t="n"/>
      <c r="C205" s="21" t="n"/>
      <c r="D205" s="16" t="n"/>
      <c r="E205" s="17">
        <f>IF($B205="","",B205-IF(ROW()=2,IMPOSTAZIONI!$B$3,B204)+IF(C205="",0,C205))</f>
        <v/>
      </c>
      <c r="F205" s="18">
        <f>IF($B205="","",E205/IF(ROW()=2,IMPOSTAZIONI!$B$3,B204))</f>
        <v/>
      </c>
      <c r="G205" s="17">
        <f>IF($B205="","",IF(ROW()=2,IMPOSTAZIONI!$B$3,B204)*IMPOSTAZIONI!$B$4)</f>
        <v/>
      </c>
      <c r="H205" s="17">
        <f>IF($B205="","",G205+MIN(0,IF(D205="",E205,MIN(E205,D205-IF(ROW()=2,IMPOSTAZIONI!$B$3,B204)))))</f>
        <v/>
      </c>
      <c r="I205" s="17">
        <f>IF($B205="","",IF(D205="",B205,MIN(B205,D205))-IMPOSTAZIONI!$B$10)</f>
        <v/>
      </c>
      <c r="J205" s="17">
        <f>IF($B205="","",B205-IMPOSTAZIONI!$B$3)</f>
        <v/>
      </c>
      <c r="K205" s="19">
        <f>IF($B205="","",IF(OR(H205&lt;=0,I205&lt;=0),"VIOLAZIONE",IF(OR(H205&lt;IF(ROW()=2,IMPOSTAZIONI!$B$3,B204)*0.01,I205&lt;IMPOSTAZIONI!$B$3*0.02),"ATTENZIONE","OK")))</f>
        <v/>
      </c>
    </row>
    <row r="206">
      <c r="A206" s="20" t="n"/>
      <c r="B206" s="21" t="n"/>
      <c r="C206" s="21" t="n"/>
      <c r="D206" s="16" t="n"/>
      <c r="E206" s="17">
        <f>IF($B206="","",B206-IF(ROW()=2,IMPOSTAZIONI!$B$3,B205)+IF(C206="",0,C206))</f>
        <v/>
      </c>
      <c r="F206" s="18">
        <f>IF($B206="","",E206/IF(ROW()=2,IMPOSTAZIONI!$B$3,B205))</f>
        <v/>
      </c>
      <c r="G206" s="17">
        <f>IF($B206="","",IF(ROW()=2,IMPOSTAZIONI!$B$3,B205)*IMPOSTAZIONI!$B$4)</f>
        <v/>
      </c>
      <c r="H206" s="17">
        <f>IF($B206="","",G206+MIN(0,IF(D206="",E206,MIN(E206,D206-IF(ROW()=2,IMPOSTAZIONI!$B$3,B205)))))</f>
        <v/>
      </c>
      <c r="I206" s="17">
        <f>IF($B206="","",IF(D206="",B206,MIN(B206,D206))-IMPOSTAZIONI!$B$10)</f>
        <v/>
      </c>
      <c r="J206" s="17">
        <f>IF($B206="","",B206-IMPOSTAZIONI!$B$3)</f>
        <v/>
      </c>
      <c r="K206" s="19">
        <f>IF($B206="","",IF(OR(H206&lt;=0,I206&lt;=0),"VIOLAZIONE",IF(OR(H206&lt;IF(ROW()=2,IMPOSTAZIONI!$B$3,B205)*0.01,I206&lt;IMPOSTAZIONI!$B$3*0.02),"ATTENZIONE","OK")))</f>
        <v/>
      </c>
    </row>
    <row r="207">
      <c r="A207" s="20" t="n"/>
      <c r="B207" s="21" t="n"/>
      <c r="C207" s="21" t="n"/>
      <c r="D207" s="16" t="n"/>
      <c r="E207" s="17">
        <f>IF($B207="","",B207-IF(ROW()=2,IMPOSTAZIONI!$B$3,B206)+IF(C207="",0,C207))</f>
        <v/>
      </c>
      <c r="F207" s="18">
        <f>IF($B207="","",E207/IF(ROW()=2,IMPOSTAZIONI!$B$3,B206))</f>
        <v/>
      </c>
      <c r="G207" s="17">
        <f>IF($B207="","",IF(ROW()=2,IMPOSTAZIONI!$B$3,B206)*IMPOSTAZIONI!$B$4)</f>
        <v/>
      </c>
      <c r="H207" s="17">
        <f>IF($B207="","",G207+MIN(0,IF(D207="",E207,MIN(E207,D207-IF(ROW()=2,IMPOSTAZIONI!$B$3,B206)))))</f>
        <v/>
      </c>
      <c r="I207" s="17">
        <f>IF($B207="","",IF(D207="",B207,MIN(B207,D207))-IMPOSTAZIONI!$B$10)</f>
        <v/>
      </c>
      <c r="J207" s="17">
        <f>IF($B207="","",B207-IMPOSTAZIONI!$B$3)</f>
        <v/>
      </c>
      <c r="K207" s="19">
        <f>IF($B207="","",IF(OR(H207&lt;=0,I207&lt;=0),"VIOLAZIONE",IF(OR(H207&lt;IF(ROW()=2,IMPOSTAZIONI!$B$3,B206)*0.01,I207&lt;IMPOSTAZIONI!$B$3*0.02),"ATTENZIONE","OK")))</f>
        <v/>
      </c>
    </row>
    <row r="208">
      <c r="A208" s="20" t="n"/>
      <c r="B208" s="21" t="n"/>
      <c r="C208" s="21" t="n"/>
      <c r="D208" s="16" t="n"/>
      <c r="E208" s="17">
        <f>IF($B208="","",B208-IF(ROW()=2,IMPOSTAZIONI!$B$3,B207)+IF(C208="",0,C208))</f>
        <v/>
      </c>
      <c r="F208" s="18">
        <f>IF($B208="","",E208/IF(ROW()=2,IMPOSTAZIONI!$B$3,B207))</f>
        <v/>
      </c>
      <c r="G208" s="17">
        <f>IF($B208="","",IF(ROW()=2,IMPOSTAZIONI!$B$3,B207)*IMPOSTAZIONI!$B$4)</f>
        <v/>
      </c>
      <c r="H208" s="17">
        <f>IF($B208="","",G208+MIN(0,IF(D208="",E208,MIN(E208,D208-IF(ROW()=2,IMPOSTAZIONI!$B$3,B207)))))</f>
        <v/>
      </c>
      <c r="I208" s="17">
        <f>IF($B208="","",IF(D208="",B208,MIN(B208,D208))-IMPOSTAZIONI!$B$10)</f>
        <v/>
      </c>
      <c r="J208" s="17">
        <f>IF($B208="","",B208-IMPOSTAZIONI!$B$3)</f>
        <v/>
      </c>
      <c r="K208" s="19">
        <f>IF($B208="","",IF(OR(H208&lt;=0,I208&lt;=0),"VIOLAZIONE",IF(OR(H208&lt;IF(ROW()=2,IMPOSTAZIONI!$B$3,B207)*0.01,I208&lt;IMPOSTAZIONI!$B$3*0.02),"ATTENZIONE","OK")))</f>
        <v/>
      </c>
    </row>
    <row r="209">
      <c r="A209" s="20" t="n"/>
      <c r="B209" s="21" t="n"/>
      <c r="C209" s="21" t="n"/>
      <c r="D209" s="16" t="n"/>
      <c r="E209" s="17">
        <f>IF($B209="","",B209-IF(ROW()=2,IMPOSTAZIONI!$B$3,B208)+IF(C209="",0,C209))</f>
        <v/>
      </c>
      <c r="F209" s="18">
        <f>IF($B209="","",E209/IF(ROW()=2,IMPOSTAZIONI!$B$3,B208))</f>
        <v/>
      </c>
      <c r="G209" s="17">
        <f>IF($B209="","",IF(ROW()=2,IMPOSTAZIONI!$B$3,B208)*IMPOSTAZIONI!$B$4)</f>
        <v/>
      </c>
      <c r="H209" s="17">
        <f>IF($B209="","",G209+MIN(0,IF(D209="",E209,MIN(E209,D209-IF(ROW()=2,IMPOSTAZIONI!$B$3,B208)))))</f>
        <v/>
      </c>
      <c r="I209" s="17">
        <f>IF($B209="","",IF(D209="",B209,MIN(B209,D209))-IMPOSTAZIONI!$B$10)</f>
        <v/>
      </c>
      <c r="J209" s="17">
        <f>IF($B209="","",B209-IMPOSTAZIONI!$B$3)</f>
        <v/>
      </c>
      <c r="K209" s="19">
        <f>IF($B209="","",IF(OR(H209&lt;=0,I209&lt;=0),"VIOLAZIONE",IF(OR(H209&lt;IF(ROW()=2,IMPOSTAZIONI!$B$3,B208)*0.01,I209&lt;IMPOSTAZIONI!$B$3*0.02),"ATTENZIONE","OK")))</f>
        <v/>
      </c>
    </row>
    <row r="210">
      <c r="A210" s="20" t="n"/>
      <c r="B210" s="21" t="n"/>
      <c r="C210" s="21" t="n"/>
      <c r="D210" s="16" t="n"/>
      <c r="E210" s="17">
        <f>IF($B210="","",B210-IF(ROW()=2,IMPOSTAZIONI!$B$3,B209)+IF(C210="",0,C210))</f>
        <v/>
      </c>
      <c r="F210" s="18">
        <f>IF($B210="","",E210/IF(ROW()=2,IMPOSTAZIONI!$B$3,B209))</f>
        <v/>
      </c>
      <c r="G210" s="17">
        <f>IF($B210="","",IF(ROW()=2,IMPOSTAZIONI!$B$3,B209)*IMPOSTAZIONI!$B$4)</f>
        <v/>
      </c>
      <c r="H210" s="17">
        <f>IF($B210="","",G210+MIN(0,IF(D210="",E210,MIN(E210,D210-IF(ROW()=2,IMPOSTAZIONI!$B$3,B209)))))</f>
        <v/>
      </c>
      <c r="I210" s="17">
        <f>IF($B210="","",IF(D210="",B210,MIN(B210,D210))-IMPOSTAZIONI!$B$10)</f>
        <v/>
      </c>
      <c r="J210" s="17">
        <f>IF($B210="","",B210-IMPOSTAZIONI!$B$3)</f>
        <v/>
      </c>
      <c r="K210" s="19">
        <f>IF($B210="","",IF(OR(H210&lt;=0,I210&lt;=0),"VIOLAZIONE",IF(OR(H210&lt;IF(ROW()=2,IMPOSTAZIONI!$B$3,B209)*0.01,I210&lt;IMPOSTAZIONI!$B$3*0.02),"ATTENZIONE","OK")))</f>
        <v/>
      </c>
    </row>
    <row r="211">
      <c r="A211" s="20" t="n"/>
      <c r="B211" s="21" t="n"/>
      <c r="C211" s="21" t="n"/>
      <c r="D211" s="16" t="n"/>
      <c r="E211" s="17">
        <f>IF($B211="","",B211-IF(ROW()=2,IMPOSTAZIONI!$B$3,B210)+IF(C211="",0,C211))</f>
        <v/>
      </c>
      <c r="F211" s="18">
        <f>IF($B211="","",E211/IF(ROW()=2,IMPOSTAZIONI!$B$3,B210))</f>
        <v/>
      </c>
      <c r="G211" s="17">
        <f>IF($B211="","",IF(ROW()=2,IMPOSTAZIONI!$B$3,B210)*IMPOSTAZIONI!$B$4)</f>
        <v/>
      </c>
      <c r="H211" s="17">
        <f>IF($B211="","",G211+MIN(0,IF(D211="",E211,MIN(E211,D211-IF(ROW()=2,IMPOSTAZIONI!$B$3,B210)))))</f>
        <v/>
      </c>
      <c r="I211" s="17">
        <f>IF($B211="","",IF(D211="",B211,MIN(B211,D211))-IMPOSTAZIONI!$B$10)</f>
        <v/>
      </c>
      <c r="J211" s="17">
        <f>IF($B211="","",B211-IMPOSTAZIONI!$B$3)</f>
        <v/>
      </c>
      <c r="K211" s="19">
        <f>IF($B211="","",IF(OR(H211&lt;=0,I211&lt;=0),"VIOLAZIONE",IF(OR(H211&lt;IF(ROW()=2,IMPOSTAZIONI!$B$3,B210)*0.01,I211&lt;IMPOSTAZIONI!$B$3*0.02),"ATTENZIONE","OK")))</f>
        <v/>
      </c>
    </row>
    <row r="212">
      <c r="A212" s="20" t="n"/>
      <c r="B212" s="21" t="n"/>
      <c r="C212" s="21" t="n"/>
      <c r="D212" s="16" t="n"/>
      <c r="E212" s="17">
        <f>IF($B212="","",B212-IF(ROW()=2,IMPOSTAZIONI!$B$3,B211)+IF(C212="",0,C212))</f>
        <v/>
      </c>
      <c r="F212" s="18">
        <f>IF($B212="","",E212/IF(ROW()=2,IMPOSTAZIONI!$B$3,B211))</f>
        <v/>
      </c>
      <c r="G212" s="17">
        <f>IF($B212="","",IF(ROW()=2,IMPOSTAZIONI!$B$3,B211)*IMPOSTAZIONI!$B$4)</f>
        <v/>
      </c>
      <c r="H212" s="17">
        <f>IF($B212="","",G212+MIN(0,IF(D212="",E212,MIN(E212,D212-IF(ROW()=2,IMPOSTAZIONI!$B$3,B211)))))</f>
        <v/>
      </c>
      <c r="I212" s="17">
        <f>IF($B212="","",IF(D212="",B212,MIN(B212,D212))-IMPOSTAZIONI!$B$10)</f>
        <v/>
      </c>
      <c r="J212" s="17">
        <f>IF($B212="","",B212-IMPOSTAZIONI!$B$3)</f>
        <v/>
      </c>
      <c r="K212" s="19">
        <f>IF($B212="","",IF(OR(H212&lt;=0,I212&lt;=0),"VIOLAZIONE",IF(OR(H212&lt;IF(ROW()=2,IMPOSTAZIONI!$B$3,B211)*0.01,I212&lt;IMPOSTAZIONI!$B$3*0.02),"ATTENZIONE","OK")))</f>
        <v/>
      </c>
    </row>
    <row r="213">
      <c r="A213" s="20" t="n"/>
      <c r="B213" s="21" t="n"/>
      <c r="C213" s="21" t="n"/>
      <c r="D213" s="16" t="n"/>
      <c r="E213" s="17">
        <f>IF($B213="","",B213-IF(ROW()=2,IMPOSTAZIONI!$B$3,B212)+IF(C213="",0,C213))</f>
        <v/>
      </c>
      <c r="F213" s="18">
        <f>IF($B213="","",E213/IF(ROW()=2,IMPOSTAZIONI!$B$3,B212))</f>
        <v/>
      </c>
      <c r="G213" s="17">
        <f>IF($B213="","",IF(ROW()=2,IMPOSTAZIONI!$B$3,B212)*IMPOSTAZIONI!$B$4)</f>
        <v/>
      </c>
      <c r="H213" s="17">
        <f>IF($B213="","",G213+MIN(0,IF(D213="",E213,MIN(E213,D213-IF(ROW()=2,IMPOSTAZIONI!$B$3,B212)))))</f>
        <v/>
      </c>
      <c r="I213" s="17">
        <f>IF($B213="","",IF(D213="",B213,MIN(B213,D213))-IMPOSTAZIONI!$B$10)</f>
        <v/>
      </c>
      <c r="J213" s="17">
        <f>IF($B213="","",B213-IMPOSTAZIONI!$B$3)</f>
        <v/>
      </c>
      <c r="K213" s="19">
        <f>IF($B213="","",IF(OR(H213&lt;=0,I213&lt;=0),"VIOLAZIONE",IF(OR(H213&lt;IF(ROW()=2,IMPOSTAZIONI!$B$3,B212)*0.01,I213&lt;IMPOSTAZIONI!$B$3*0.02),"ATTENZIONE","OK")))</f>
        <v/>
      </c>
    </row>
    <row r="214">
      <c r="A214" s="20" t="n"/>
      <c r="B214" s="21" t="n"/>
      <c r="C214" s="21" t="n"/>
      <c r="D214" s="16" t="n"/>
      <c r="E214" s="17">
        <f>IF($B214="","",B214-IF(ROW()=2,IMPOSTAZIONI!$B$3,B213)+IF(C214="",0,C214))</f>
        <v/>
      </c>
      <c r="F214" s="18">
        <f>IF($B214="","",E214/IF(ROW()=2,IMPOSTAZIONI!$B$3,B213))</f>
        <v/>
      </c>
      <c r="G214" s="17">
        <f>IF($B214="","",IF(ROW()=2,IMPOSTAZIONI!$B$3,B213)*IMPOSTAZIONI!$B$4)</f>
        <v/>
      </c>
      <c r="H214" s="17">
        <f>IF($B214="","",G214+MIN(0,IF(D214="",E214,MIN(E214,D214-IF(ROW()=2,IMPOSTAZIONI!$B$3,B213)))))</f>
        <v/>
      </c>
      <c r="I214" s="17">
        <f>IF($B214="","",IF(D214="",B214,MIN(B214,D214))-IMPOSTAZIONI!$B$10)</f>
        <v/>
      </c>
      <c r="J214" s="17">
        <f>IF($B214="","",B214-IMPOSTAZIONI!$B$3)</f>
        <v/>
      </c>
      <c r="K214" s="19">
        <f>IF($B214="","",IF(OR(H214&lt;=0,I214&lt;=0),"VIOLAZIONE",IF(OR(H214&lt;IF(ROW()=2,IMPOSTAZIONI!$B$3,B213)*0.01,I214&lt;IMPOSTAZIONI!$B$3*0.02),"ATTENZIONE","OK")))</f>
        <v/>
      </c>
    </row>
    <row r="215">
      <c r="A215" s="20" t="n"/>
      <c r="B215" s="21" t="n"/>
      <c r="C215" s="21" t="n"/>
      <c r="D215" s="16" t="n"/>
      <c r="E215" s="17">
        <f>IF($B215="","",B215-IF(ROW()=2,IMPOSTAZIONI!$B$3,B214)+IF(C215="",0,C215))</f>
        <v/>
      </c>
      <c r="F215" s="18">
        <f>IF($B215="","",E215/IF(ROW()=2,IMPOSTAZIONI!$B$3,B214))</f>
        <v/>
      </c>
      <c r="G215" s="17">
        <f>IF($B215="","",IF(ROW()=2,IMPOSTAZIONI!$B$3,B214)*IMPOSTAZIONI!$B$4)</f>
        <v/>
      </c>
      <c r="H215" s="17">
        <f>IF($B215="","",G215+MIN(0,IF(D215="",E215,MIN(E215,D215-IF(ROW()=2,IMPOSTAZIONI!$B$3,B214)))))</f>
        <v/>
      </c>
      <c r="I215" s="17">
        <f>IF($B215="","",IF(D215="",B215,MIN(B215,D215))-IMPOSTAZIONI!$B$10)</f>
        <v/>
      </c>
      <c r="J215" s="17">
        <f>IF($B215="","",B215-IMPOSTAZIONI!$B$3)</f>
        <v/>
      </c>
      <c r="K215" s="19">
        <f>IF($B215="","",IF(OR(H215&lt;=0,I215&lt;=0),"VIOLAZIONE",IF(OR(H215&lt;IF(ROW()=2,IMPOSTAZIONI!$B$3,B214)*0.01,I215&lt;IMPOSTAZIONI!$B$3*0.02),"ATTENZIONE","OK")))</f>
        <v/>
      </c>
    </row>
    <row r="216">
      <c r="A216" s="20" t="n"/>
      <c r="B216" s="21" t="n"/>
      <c r="C216" s="21" t="n"/>
      <c r="D216" s="16" t="n"/>
      <c r="E216" s="17">
        <f>IF($B216="","",B216-IF(ROW()=2,IMPOSTAZIONI!$B$3,B215)+IF(C216="",0,C216))</f>
        <v/>
      </c>
      <c r="F216" s="18">
        <f>IF($B216="","",E216/IF(ROW()=2,IMPOSTAZIONI!$B$3,B215))</f>
        <v/>
      </c>
      <c r="G216" s="17">
        <f>IF($B216="","",IF(ROW()=2,IMPOSTAZIONI!$B$3,B215)*IMPOSTAZIONI!$B$4)</f>
        <v/>
      </c>
      <c r="H216" s="17">
        <f>IF($B216="","",G216+MIN(0,IF(D216="",E216,MIN(E216,D216-IF(ROW()=2,IMPOSTAZIONI!$B$3,B215)))))</f>
        <v/>
      </c>
      <c r="I216" s="17">
        <f>IF($B216="","",IF(D216="",B216,MIN(B216,D216))-IMPOSTAZIONI!$B$10)</f>
        <v/>
      </c>
      <c r="J216" s="17">
        <f>IF($B216="","",B216-IMPOSTAZIONI!$B$3)</f>
        <v/>
      </c>
      <c r="K216" s="19">
        <f>IF($B216="","",IF(OR(H216&lt;=0,I216&lt;=0),"VIOLAZIONE",IF(OR(H216&lt;IF(ROW()=2,IMPOSTAZIONI!$B$3,B215)*0.01,I216&lt;IMPOSTAZIONI!$B$3*0.02),"ATTENZIONE","OK")))</f>
        <v/>
      </c>
    </row>
    <row r="217">
      <c r="A217" s="20" t="n"/>
      <c r="B217" s="21" t="n"/>
      <c r="C217" s="21" t="n"/>
      <c r="D217" s="16" t="n"/>
      <c r="E217" s="17">
        <f>IF($B217="","",B217-IF(ROW()=2,IMPOSTAZIONI!$B$3,B216)+IF(C217="",0,C217))</f>
        <v/>
      </c>
      <c r="F217" s="18">
        <f>IF($B217="","",E217/IF(ROW()=2,IMPOSTAZIONI!$B$3,B216))</f>
        <v/>
      </c>
      <c r="G217" s="17">
        <f>IF($B217="","",IF(ROW()=2,IMPOSTAZIONI!$B$3,B216)*IMPOSTAZIONI!$B$4)</f>
        <v/>
      </c>
      <c r="H217" s="17">
        <f>IF($B217="","",G217+MIN(0,IF(D217="",E217,MIN(E217,D217-IF(ROW()=2,IMPOSTAZIONI!$B$3,B216)))))</f>
        <v/>
      </c>
      <c r="I217" s="17">
        <f>IF($B217="","",IF(D217="",B217,MIN(B217,D217))-IMPOSTAZIONI!$B$10)</f>
        <v/>
      </c>
      <c r="J217" s="17">
        <f>IF($B217="","",B217-IMPOSTAZIONI!$B$3)</f>
        <v/>
      </c>
      <c r="K217" s="19">
        <f>IF($B217="","",IF(OR(H217&lt;=0,I217&lt;=0),"VIOLAZIONE",IF(OR(H217&lt;IF(ROW()=2,IMPOSTAZIONI!$B$3,B216)*0.01,I217&lt;IMPOSTAZIONI!$B$3*0.02),"ATTENZIONE","OK")))</f>
        <v/>
      </c>
    </row>
    <row r="218">
      <c r="A218" s="20" t="n"/>
      <c r="B218" s="21" t="n"/>
      <c r="C218" s="21" t="n"/>
      <c r="D218" s="16" t="n"/>
      <c r="E218" s="17">
        <f>IF($B218="","",B218-IF(ROW()=2,IMPOSTAZIONI!$B$3,B217)+IF(C218="",0,C218))</f>
        <v/>
      </c>
      <c r="F218" s="18">
        <f>IF($B218="","",E218/IF(ROW()=2,IMPOSTAZIONI!$B$3,B217))</f>
        <v/>
      </c>
      <c r="G218" s="17">
        <f>IF($B218="","",IF(ROW()=2,IMPOSTAZIONI!$B$3,B217)*IMPOSTAZIONI!$B$4)</f>
        <v/>
      </c>
      <c r="H218" s="17">
        <f>IF($B218="","",G218+MIN(0,IF(D218="",E218,MIN(E218,D218-IF(ROW()=2,IMPOSTAZIONI!$B$3,B217)))))</f>
        <v/>
      </c>
      <c r="I218" s="17">
        <f>IF($B218="","",IF(D218="",B218,MIN(B218,D218))-IMPOSTAZIONI!$B$10)</f>
        <v/>
      </c>
      <c r="J218" s="17">
        <f>IF($B218="","",B218-IMPOSTAZIONI!$B$3)</f>
        <v/>
      </c>
      <c r="K218" s="19">
        <f>IF($B218="","",IF(OR(H218&lt;=0,I218&lt;=0),"VIOLAZIONE",IF(OR(H218&lt;IF(ROW()=2,IMPOSTAZIONI!$B$3,B217)*0.01,I218&lt;IMPOSTAZIONI!$B$3*0.02),"ATTENZIONE","OK")))</f>
        <v/>
      </c>
    </row>
    <row r="219">
      <c r="A219" s="20" t="n"/>
      <c r="B219" s="21" t="n"/>
      <c r="C219" s="21" t="n"/>
      <c r="D219" s="16" t="n"/>
      <c r="E219" s="17">
        <f>IF($B219="","",B219-IF(ROW()=2,IMPOSTAZIONI!$B$3,B218)+IF(C219="",0,C219))</f>
        <v/>
      </c>
      <c r="F219" s="18">
        <f>IF($B219="","",E219/IF(ROW()=2,IMPOSTAZIONI!$B$3,B218))</f>
        <v/>
      </c>
      <c r="G219" s="17">
        <f>IF($B219="","",IF(ROW()=2,IMPOSTAZIONI!$B$3,B218)*IMPOSTAZIONI!$B$4)</f>
        <v/>
      </c>
      <c r="H219" s="17">
        <f>IF($B219="","",G219+MIN(0,IF(D219="",E219,MIN(E219,D219-IF(ROW()=2,IMPOSTAZIONI!$B$3,B218)))))</f>
        <v/>
      </c>
      <c r="I219" s="17">
        <f>IF($B219="","",IF(D219="",B219,MIN(B219,D219))-IMPOSTAZIONI!$B$10)</f>
        <v/>
      </c>
      <c r="J219" s="17">
        <f>IF($B219="","",B219-IMPOSTAZIONI!$B$3)</f>
        <v/>
      </c>
      <c r="K219" s="19">
        <f>IF($B219="","",IF(OR(H219&lt;=0,I219&lt;=0),"VIOLAZIONE",IF(OR(H219&lt;IF(ROW()=2,IMPOSTAZIONI!$B$3,B218)*0.01,I219&lt;IMPOSTAZIONI!$B$3*0.02),"ATTENZIONE","OK")))</f>
        <v/>
      </c>
    </row>
    <row r="220">
      <c r="A220" s="20" t="n"/>
      <c r="B220" s="21" t="n"/>
      <c r="C220" s="21" t="n"/>
      <c r="D220" s="16" t="n"/>
      <c r="E220" s="17">
        <f>IF($B220="","",B220-IF(ROW()=2,IMPOSTAZIONI!$B$3,B219)+IF(C220="",0,C220))</f>
        <v/>
      </c>
      <c r="F220" s="18">
        <f>IF($B220="","",E220/IF(ROW()=2,IMPOSTAZIONI!$B$3,B219))</f>
        <v/>
      </c>
      <c r="G220" s="17">
        <f>IF($B220="","",IF(ROW()=2,IMPOSTAZIONI!$B$3,B219)*IMPOSTAZIONI!$B$4)</f>
        <v/>
      </c>
      <c r="H220" s="17">
        <f>IF($B220="","",G220+MIN(0,IF(D220="",E220,MIN(E220,D220-IF(ROW()=2,IMPOSTAZIONI!$B$3,B219)))))</f>
        <v/>
      </c>
      <c r="I220" s="17">
        <f>IF($B220="","",IF(D220="",B220,MIN(B220,D220))-IMPOSTAZIONI!$B$10)</f>
        <v/>
      </c>
      <c r="J220" s="17">
        <f>IF($B220="","",B220-IMPOSTAZIONI!$B$3)</f>
        <v/>
      </c>
      <c r="K220" s="19">
        <f>IF($B220="","",IF(OR(H220&lt;=0,I220&lt;=0),"VIOLAZIONE",IF(OR(H220&lt;IF(ROW()=2,IMPOSTAZIONI!$B$3,B219)*0.01,I220&lt;IMPOSTAZIONI!$B$3*0.02),"ATTENZIONE","OK")))</f>
        <v/>
      </c>
    </row>
    <row r="221">
      <c r="A221" s="20" t="n"/>
      <c r="B221" s="21" t="n"/>
      <c r="C221" s="21" t="n"/>
      <c r="D221" s="16" t="n"/>
      <c r="E221" s="17">
        <f>IF($B221="","",B221-IF(ROW()=2,IMPOSTAZIONI!$B$3,B220)+IF(C221="",0,C221))</f>
        <v/>
      </c>
      <c r="F221" s="18">
        <f>IF($B221="","",E221/IF(ROW()=2,IMPOSTAZIONI!$B$3,B220))</f>
        <v/>
      </c>
      <c r="G221" s="17">
        <f>IF($B221="","",IF(ROW()=2,IMPOSTAZIONI!$B$3,B220)*IMPOSTAZIONI!$B$4)</f>
        <v/>
      </c>
      <c r="H221" s="17">
        <f>IF($B221="","",G221+MIN(0,IF(D221="",E221,MIN(E221,D221-IF(ROW()=2,IMPOSTAZIONI!$B$3,B220)))))</f>
        <v/>
      </c>
      <c r="I221" s="17">
        <f>IF($B221="","",IF(D221="",B221,MIN(B221,D221))-IMPOSTAZIONI!$B$10)</f>
        <v/>
      </c>
      <c r="J221" s="17">
        <f>IF($B221="","",B221-IMPOSTAZIONI!$B$3)</f>
        <v/>
      </c>
      <c r="K221" s="19">
        <f>IF($B221="","",IF(OR(H221&lt;=0,I221&lt;=0),"VIOLAZIONE",IF(OR(H221&lt;IF(ROW()=2,IMPOSTAZIONI!$B$3,B220)*0.01,I221&lt;IMPOSTAZIONI!$B$3*0.02),"ATTENZIONE","OK")))</f>
        <v/>
      </c>
    </row>
    <row r="222">
      <c r="A222" s="20" t="n"/>
      <c r="B222" s="21" t="n"/>
      <c r="C222" s="21" t="n"/>
      <c r="D222" s="16" t="n"/>
      <c r="E222" s="17">
        <f>IF($B222="","",B222-IF(ROW()=2,IMPOSTAZIONI!$B$3,B221)+IF(C222="",0,C222))</f>
        <v/>
      </c>
      <c r="F222" s="18">
        <f>IF($B222="","",E222/IF(ROW()=2,IMPOSTAZIONI!$B$3,B221))</f>
        <v/>
      </c>
      <c r="G222" s="17">
        <f>IF($B222="","",IF(ROW()=2,IMPOSTAZIONI!$B$3,B221)*IMPOSTAZIONI!$B$4)</f>
        <v/>
      </c>
      <c r="H222" s="17">
        <f>IF($B222="","",G222+MIN(0,IF(D222="",E222,MIN(E222,D222-IF(ROW()=2,IMPOSTAZIONI!$B$3,B221)))))</f>
        <v/>
      </c>
      <c r="I222" s="17">
        <f>IF($B222="","",IF(D222="",B222,MIN(B222,D222))-IMPOSTAZIONI!$B$10)</f>
        <v/>
      </c>
      <c r="J222" s="17">
        <f>IF($B222="","",B222-IMPOSTAZIONI!$B$3)</f>
        <v/>
      </c>
      <c r="K222" s="19">
        <f>IF($B222="","",IF(OR(H222&lt;=0,I222&lt;=0),"VIOLAZIONE",IF(OR(H222&lt;IF(ROW()=2,IMPOSTAZIONI!$B$3,B221)*0.01,I222&lt;IMPOSTAZIONI!$B$3*0.02),"ATTENZIONE","OK")))</f>
        <v/>
      </c>
    </row>
    <row r="223">
      <c r="A223" s="20" t="n"/>
      <c r="B223" s="21" t="n"/>
      <c r="C223" s="21" t="n"/>
      <c r="D223" s="16" t="n"/>
      <c r="E223" s="17">
        <f>IF($B223="","",B223-IF(ROW()=2,IMPOSTAZIONI!$B$3,B222)+IF(C223="",0,C223))</f>
        <v/>
      </c>
      <c r="F223" s="18">
        <f>IF($B223="","",E223/IF(ROW()=2,IMPOSTAZIONI!$B$3,B222))</f>
        <v/>
      </c>
      <c r="G223" s="17">
        <f>IF($B223="","",IF(ROW()=2,IMPOSTAZIONI!$B$3,B222)*IMPOSTAZIONI!$B$4)</f>
        <v/>
      </c>
      <c r="H223" s="17">
        <f>IF($B223="","",G223+MIN(0,IF(D223="",E223,MIN(E223,D223-IF(ROW()=2,IMPOSTAZIONI!$B$3,B222)))))</f>
        <v/>
      </c>
      <c r="I223" s="17">
        <f>IF($B223="","",IF(D223="",B223,MIN(B223,D223))-IMPOSTAZIONI!$B$10)</f>
        <v/>
      </c>
      <c r="J223" s="17">
        <f>IF($B223="","",B223-IMPOSTAZIONI!$B$3)</f>
        <v/>
      </c>
      <c r="K223" s="19">
        <f>IF($B223="","",IF(OR(H223&lt;=0,I223&lt;=0),"VIOLAZIONE",IF(OR(H223&lt;IF(ROW()=2,IMPOSTAZIONI!$B$3,B222)*0.01,I223&lt;IMPOSTAZIONI!$B$3*0.02),"ATTENZIONE","OK")))</f>
        <v/>
      </c>
    </row>
    <row r="224">
      <c r="A224" s="20" t="n"/>
      <c r="B224" s="21" t="n"/>
      <c r="C224" s="21" t="n"/>
      <c r="D224" s="16" t="n"/>
      <c r="E224" s="17">
        <f>IF($B224="","",B224-IF(ROW()=2,IMPOSTAZIONI!$B$3,B223)+IF(C224="",0,C224))</f>
        <v/>
      </c>
      <c r="F224" s="18">
        <f>IF($B224="","",E224/IF(ROW()=2,IMPOSTAZIONI!$B$3,B223))</f>
        <v/>
      </c>
      <c r="G224" s="17">
        <f>IF($B224="","",IF(ROW()=2,IMPOSTAZIONI!$B$3,B223)*IMPOSTAZIONI!$B$4)</f>
        <v/>
      </c>
      <c r="H224" s="17">
        <f>IF($B224="","",G224+MIN(0,IF(D224="",E224,MIN(E224,D224-IF(ROW()=2,IMPOSTAZIONI!$B$3,B223)))))</f>
        <v/>
      </c>
      <c r="I224" s="17">
        <f>IF($B224="","",IF(D224="",B224,MIN(B224,D224))-IMPOSTAZIONI!$B$10)</f>
        <v/>
      </c>
      <c r="J224" s="17">
        <f>IF($B224="","",B224-IMPOSTAZIONI!$B$3)</f>
        <v/>
      </c>
      <c r="K224" s="19">
        <f>IF($B224="","",IF(OR(H224&lt;=0,I224&lt;=0),"VIOLAZIONE",IF(OR(H224&lt;IF(ROW()=2,IMPOSTAZIONI!$B$3,B223)*0.01,I224&lt;IMPOSTAZIONI!$B$3*0.02),"ATTENZIONE","OK")))</f>
        <v/>
      </c>
    </row>
    <row r="225">
      <c r="A225" s="20" t="n"/>
      <c r="B225" s="21" t="n"/>
      <c r="C225" s="21" t="n"/>
      <c r="D225" s="16" t="n"/>
      <c r="E225" s="17">
        <f>IF($B225="","",B225-IF(ROW()=2,IMPOSTAZIONI!$B$3,B224)+IF(C225="",0,C225))</f>
        <v/>
      </c>
      <c r="F225" s="18">
        <f>IF($B225="","",E225/IF(ROW()=2,IMPOSTAZIONI!$B$3,B224))</f>
        <v/>
      </c>
      <c r="G225" s="17">
        <f>IF($B225="","",IF(ROW()=2,IMPOSTAZIONI!$B$3,B224)*IMPOSTAZIONI!$B$4)</f>
        <v/>
      </c>
      <c r="H225" s="17">
        <f>IF($B225="","",G225+MIN(0,IF(D225="",E225,MIN(E225,D225-IF(ROW()=2,IMPOSTAZIONI!$B$3,B224)))))</f>
        <v/>
      </c>
      <c r="I225" s="17">
        <f>IF($B225="","",IF(D225="",B225,MIN(B225,D225))-IMPOSTAZIONI!$B$10)</f>
        <v/>
      </c>
      <c r="J225" s="17">
        <f>IF($B225="","",B225-IMPOSTAZIONI!$B$3)</f>
        <v/>
      </c>
      <c r="K225" s="19">
        <f>IF($B225="","",IF(OR(H225&lt;=0,I225&lt;=0),"VIOLAZIONE",IF(OR(H225&lt;IF(ROW()=2,IMPOSTAZIONI!$B$3,B224)*0.01,I225&lt;IMPOSTAZIONI!$B$3*0.02),"ATTENZIONE","OK")))</f>
        <v/>
      </c>
    </row>
    <row r="226">
      <c r="A226" s="20" t="n"/>
      <c r="B226" s="21" t="n"/>
      <c r="C226" s="21" t="n"/>
      <c r="D226" s="16" t="n"/>
      <c r="E226" s="17">
        <f>IF($B226="","",B226-IF(ROW()=2,IMPOSTAZIONI!$B$3,B225)+IF(C226="",0,C226))</f>
        <v/>
      </c>
      <c r="F226" s="18">
        <f>IF($B226="","",E226/IF(ROW()=2,IMPOSTAZIONI!$B$3,B225))</f>
        <v/>
      </c>
      <c r="G226" s="17">
        <f>IF($B226="","",IF(ROW()=2,IMPOSTAZIONI!$B$3,B225)*IMPOSTAZIONI!$B$4)</f>
        <v/>
      </c>
      <c r="H226" s="17">
        <f>IF($B226="","",G226+MIN(0,IF(D226="",E226,MIN(E226,D226-IF(ROW()=2,IMPOSTAZIONI!$B$3,B225)))))</f>
        <v/>
      </c>
      <c r="I226" s="17">
        <f>IF($B226="","",IF(D226="",B226,MIN(B226,D226))-IMPOSTAZIONI!$B$10)</f>
        <v/>
      </c>
      <c r="J226" s="17">
        <f>IF($B226="","",B226-IMPOSTAZIONI!$B$3)</f>
        <v/>
      </c>
      <c r="K226" s="19">
        <f>IF($B226="","",IF(OR(H226&lt;=0,I226&lt;=0),"VIOLAZIONE",IF(OR(H226&lt;IF(ROW()=2,IMPOSTAZIONI!$B$3,B225)*0.01,I226&lt;IMPOSTAZIONI!$B$3*0.02),"ATTENZIONE","OK")))</f>
        <v/>
      </c>
    </row>
    <row r="227">
      <c r="A227" s="20" t="n"/>
      <c r="B227" s="21" t="n"/>
      <c r="C227" s="21" t="n"/>
      <c r="D227" s="16" t="n"/>
      <c r="E227" s="17">
        <f>IF($B227="","",B227-IF(ROW()=2,IMPOSTAZIONI!$B$3,B226)+IF(C227="",0,C227))</f>
        <v/>
      </c>
      <c r="F227" s="18">
        <f>IF($B227="","",E227/IF(ROW()=2,IMPOSTAZIONI!$B$3,B226))</f>
        <v/>
      </c>
      <c r="G227" s="17">
        <f>IF($B227="","",IF(ROW()=2,IMPOSTAZIONI!$B$3,B226)*IMPOSTAZIONI!$B$4)</f>
        <v/>
      </c>
      <c r="H227" s="17">
        <f>IF($B227="","",G227+MIN(0,IF(D227="",E227,MIN(E227,D227-IF(ROW()=2,IMPOSTAZIONI!$B$3,B226)))))</f>
        <v/>
      </c>
      <c r="I227" s="17">
        <f>IF($B227="","",IF(D227="",B227,MIN(B227,D227))-IMPOSTAZIONI!$B$10)</f>
        <v/>
      </c>
      <c r="J227" s="17">
        <f>IF($B227="","",B227-IMPOSTAZIONI!$B$3)</f>
        <v/>
      </c>
      <c r="K227" s="19">
        <f>IF($B227="","",IF(OR(H227&lt;=0,I227&lt;=0),"VIOLAZIONE",IF(OR(H227&lt;IF(ROW()=2,IMPOSTAZIONI!$B$3,B226)*0.01,I227&lt;IMPOSTAZIONI!$B$3*0.02),"ATTENZIONE","OK")))</f>
        <v/>
      </c>
    </row>
    <row r="228">
      <c r="A228" s="20" t="n"/>
      <c r="B228" s="21" t="n"/>
      <c r="C228" s="21" t="n"/>
      <c r="D228" s="16" t="n"/>
      <c r="E228" s="17">
        <f>IF($B228="","",B228-IF(ROW()=2,IMPOSTAZIONI!$B$3,B227)+IF(C228="",0,C228))</f>
        <v/>
      </c>
      <c r="F228" s="18">
        <f>IF($B228="","",E228/IF(ROW()=2,IMPOSTAZIONI!$B$3,B227))</f>
        <v/>
      </c>
      <c r="G228" s="17">
        <f>IF($B228="","",IF(ROW()=2,IMPOSTAZIONI!$B$3,B227)*IMPOSTAZIONI!$B$4)</f>
        <v/>
      </c>
      <c r="H228" s="17">
        <f>IF($B228="","",G228+MIN(0,IF(D228="",E228,MIN(E228,D228-IF(ROW()=2,IMPOSTAZIONI!$B$3,B227)))))</f>
        <v/>
      </c>
      <c r="I228" s="17">
        <f>IF($B228="","",IF(D228="",B228,MIN(B228,D228))-IMPOSTAZIONI!$B$10)</f>
        <v/>
      </c>
      <c r="J228" s="17">
        <f>IF($B228="","",B228-IMPOSTAZIONI!$B$3)</f>
        <v/>
      </c>
      <c r="K228" s="19">
        <f>IF($B228="","",IF(OR(H228&lt;=0,I228&lt;=0),"VIOLAZIONE",IF(OR(H228&lt;IF(ROW()=2,IMPOSTAZIONI!$B$3,B227)*0.01,I228&lt;IMPOSTAZIONI!$B$3*0.02),"ATTENZIONE","OK")))</f>
        <v/>
      </c>
    </row>
    <row r="229">
      <c r="A229" s="20" t="n"/>
      <c r="B229" s="21" t="n"/>
      <c r="C229" s="21" t="n"/>
      <c r="D229" s="16" t="n"/>
      <c r="E229" s="17">
        <f>IF($B229="","",B229-IF(ROW()=2,IMPOSTAZIONI!$B$3,B228)+IF(C229="",0,C229))</f>
        <v/>
      </c>
      <c r="F229" s="18">
        <f>IF($B229="","",E229/IF(ROW()=2,IMPOSTAZIONI!$B$3,B228))</f>
        <v/>
      </c>
      <c r="G229" s="17">
        <f>IF($B229="","",IF(ROW()=2,IMPOSTAZIONI!$B$3,B228)*IMPOSTAZIONI!$B$4)</f>
        <v/>
      </c>
      <c r="H229" s="17">
        <f>IF($B229="","",G229+MIN(0,IF(D229="",E229,MIN(E229,D229-IF(ROW()=2,IMPOSTAZIONI!$B$3,B228)))))</f>
        <v/>
      </c>
      <c r="I229" s="17">
        <f>IF($B229="","",IF(D229="",B229,MIN(B229,D229))-IMPOSTAZIONI!$B$10)</f>
        <v/>
      </c>
      <c r="J229" s="17">
        <f>IF($B229="","",B229-IMPOSTAZIONI!$B$3)</f>
        <v/>
      </c>
      <c r="K229" s="19">
        <f>IF($B229="","",IF(OR(H229&lt;=0,I229&lt;=0),"VIOLAZIONE",IF(OR(H229&lt;IF(ROW()=2,IMPOSTAZIONI!$B$3,B228)*0.01,I229&lt;IMPOSTAZIONI!$B$3*0.02),"ATTENZIONE","OK")))</f>
        <v/>
      </c>
    </row>
    <row r="230">
      <c r="A230" s="20" t="n"/>
      <c r="B230" s="21" t="n"/>
      <c r="C230" s="21" t="n"/>
      <c r="D230" s="16" t="n"/>
      <c r="E230" s="17">
        <f>IF($B230="","",B230-IF(ROW()=2,IMPOSTAZIONI!$B$3,B229)+IF(C230="",0,C230))</f>
        <v/>
      </c>
      <c r="F230" s="18">
        <f>IF($B230="","",E230/IF(ROW()=2,IMPOSTAZIONI!$B$3,B229))</f>
        <v/>
      </c>
      <c r="G230" s="17">
        <f>IF($B230="","",IF(ROW()=2,IMPOSTAZIONI!$B$3,B229)*IMPOSTAZIONI!$B$4)</f>
        <v/>
      </c>
      <c r="H230" s="17">
        <f>IF($B230="","",G230+MIN(0,IF(D230="",E230,MIN(E230,D230-IF(ROW()=2,IMPOSTAZIONI!$B$3,B229)))))</f>
        <v/>
      </c>
      <c r="I230" s="17">
        <f>IF($B230="","",IF(D230="",B230,MIN(B230,D230))-IMPOSTAZIONI!$B$10)</f>
        <v/>
      </c>
      <c r="J230" s="17">
        <f>IF($B230="","",B230-IMPOSTAZIONI!$B$3)</f>
        <v/>
      </c>
      <c r="K230" s="19">
        <f>IF($B230="","",IF(OR(H230&lt;=0,I230&lt;=0),"VIOLAZIONE",IF(OR(H230&lt;IF(ROW()=2,IMPOSTAZIONI!$B$3,B229)*0.01,I230&lt;IMPOSTAZIONI!$B$3*0.02),"ATTENZIONE","OK")))</f>
        <v/>
      </c>
    </row>
    <row r="231">
      <c r="A231" s="20" t="n"/>
      <c r="B231" s="21" t="n"/>
      <c r="C231" s="21" t="n"/>
      <c r="D231" s="16" t="n"/>
      <c r="E231" s="17">
        <f>IF($B231="","",B231-IF(ROW()=2,IMPOSTAZIONI!$B$3,B230)+IF(C231="",0,C231))</f>
        <v/>
      </c>
      <c r="F231" s="18">
        <f>IF($B231="","",E231/IF(ROW()=2,IMPOSTAZIONI!$B$3,B230))</f>
        <v/>
      </c>
      <c r="G231" s="17">
        <f>IF($B231="","",IF(ROW()=2,IMPOSTAZIONI!$B$3,B230)*IMPOSTAZIONI!$B$4)</f>
        <v/>
      </c>
      <c r="H231" s="17">
        <f>IF($B231="","",G231+MIN(0,IF(D231="",E231,MIN(E231,D231-IF(ROW()=2,IMPOSTAZIONI!$B$3,B230)))))</f>
        <v/>
      </c>
      <c r="I231" s="17">
        <f>IF($B231="","",IF(D231="",B231,MIN(B231,D231))-IMPOSTAZIONI!$B$10)</f>
        <v/>
      </c>
      <c r="J231" s="17">
        <f>IF($B231="","",B231-IMPOSTAZIONI!$B$3)</f>
        <v/>
      </c>
      <c r="K231" s="19">
        <f>IF($B231="","",IF(OR(H231&lt;=0,I231&lt;=0),"VIOLAZIONE",IF(OR(H231&lt;IF(ROW()=2,IMPOSTAZIONI!$B$3,B230)*0.01,I231&lt;IMPOSTAZIONI!$B$3*0.02),"ATTENZIONE","OK")))</f>
        <v/>
      </c>
    </row>
    <row r="232">
      <c r="A232" s="20" t="n"/>
      <c r="B232" s="21" t="n"/>
      <c r="C232" s="21" t="n"/>
      <c r="D232" s="16" t="n"/>
      <c r="E232" s="17">
        <f>IF($B232="","",B232-IF(ROW()=2,IMPOSTAZIONI!$B$3,B231)+IF(C232="",0,C232))</f>
        <v/>
      </c>
      <c r="F232" s="18">
        <f>IF($B232="","",E232/IF(ROW()=2,IMPOSTAZIONI!$B$3,B231))</f>
        <v/>
      </c>
      <c r="G232" s="17">
        <f>IF($B232="","",IF(ROW()=2,IMPOSTAZIONI!$B$3,B231)*IMPOSTAZIONI!$B$4)</f>
        <v/>
      </c>
      <c r="H232" s="17">
        <f>IF($B232="","",G232+MIN(0,IF(D232="",E232,MIN(E232,D232-IF(ROW()=2,IMPOSTAZIONI!$B$3,B231)))))</f>
        <v/>
      </c>
      <c r="I232" s="17">
        <f>IF($B232="","",IF(D232="",B232,MIN(B232,D232))-IMPOSTAZIONI!$B$10)</f>
        <v/>
      </c>
      <c r="J232" s="17">
        <f>IF($B232="","",B232-IMPOSTAZIONI!$B$3)</f>
        <v/>
      </c>
      <c r="K232" s="19">
        <f>IF($B232="","",IF(OR(H232&lt;=0,I232&lt;=0),"VIOLAZIONE",IF(OR(H232&lt;IF(ROW()=2,IMPOSTAZIONI!$B$3,B231)*0.01,I232&lt;IMPOSTAZIONI!$B$3*0.02),"ATTENZIONE","OK")))</f>
        <v/>
      </c>
    </row>
    <row r="233">
      <c r="A233" s="20" t="n"/>
      <c r="B233" s="21" t="n"/>
      <c r="C233" s="21" t="n"/>
      <c r="D233" s="16" t="n"/>
      <c r="E233" s="17">
        <f>IF($B233="","",B233-IF(ROW()=2,IMPOSTAZIONI!$B$3,B232)+IF(C233="",0,C233))</f>
        <v/>
      </c>
      <c r="F233" s="18">
        <f>IF($B233="","",E233/IF(ROW()=2,IMPOSTAZIONI!$B$3,B232))</f>
        <v/>
      </c>
      <c r="G233" s="17">
        <f>IF($B233="","",IF(ROW()=2,IMPOSTAZIONI!$B$3,B232)*IMPOSTAZIONI!$B$4)</f>
        <v/>
      </c>
      <c r="H233" s="17">
        <f>IF($B233="","",G233+MIN(0,IF(D233="",E233,MIN(E233,D233-IF(ROW()=2,IMPOSTAZIONI!$B$3,B232)))))</f>
        <v/>
      </c>
      <c r="I233" s="17">
        <f>IF($B233="","",IF(D233="",B233,MIN(B233,D233))-IMPOSTAZIONI!$B$10)</f>
        <v/>
      </c>
      <c r="J233" s="17">
        <f>IF($B233="","",B233-IMPOSTAZIONI!$B$3)</f>
        <v/>
      </c>
      <c r="K233" s="19">
        <f>IF($B233="","",IF(OR(H233&lt;=0,I233&lt;=0),"VIOLAZIONE",IF(OR(H233&lt;IF(ROW()=2,IMPOSTAZIONI!$B$3,B232)*0.01,I233&lt;IMPOSTAZIONI!$B$3*0.02),"ATTENZIONE","OK")))</f>
        <v/>
      </c>
    </row>
    <row r="234">
      <c r="A234" s="20" t="n"/>
      <c r="B234" s="21" t="n"/>
      <c r="C234" s="21" t="n"/>
      <c r="D234" s="16" t="n"/>
      <c r="E234" s="17">
        <f>IF($B234="","",B234-IF(ROW()=2,IMPOSTAZIONI!$B$3,B233)+IF(C234="",0,C234))</f>
        <v/>
      </c>
      <c r="F234" s="18">
        <f>IF($B234="","",E234/IF(ROW()=2,IMPOSTAZIONI!$B$3,B233))</f>
        <v/>
      </c>
      <c r="G234" s="17">
        <f>IF($B234="","",IF(ROW()=2,IMPOSTAZIONI!$B$3,B233)*IMPOSTAZIONI!$B$4)</f>
        <v/>
      </c>
      <c r="H234" s="17">
        <f>IF($B234="","",G234+MIN(0,IF(D234="",E234,MIN(E234,D234-IF(ROW()=2,IMPOSTAZIONI!$B$3,B233)))))</f>
        <v/>
      </c>
      <c r="I234" s="17">
        <f>IF($B234="","",IF(D234="",B234,MIN(B234,D234))-IMPOSTAZIONI!$B$10)</f>
        <v/>
      </c>
      <c r="J234" s="17">
        <f>IF($B234="","",B234-IMPOSTAZIONI!$B$3)</f>
        <v/>
      </c>
      <c r="K234" s="19">
        <f>IF($B234="","",IF(OR(H234&lt;=0,I234&lt;=0),"VIOLAZIONE",IF(OR(H234&lt;IF(ROW()=2,IMPOSTAZIONI!$B$3,B233)*0.01,I234&lt;IMPOSTAZIONI!$B$3*0.02),"ATTENZIONE","OK")))</f>
        <v/>
      </c>
    </row>
    <row r="235">
      <c r="A235" s="20" t="n"/>
      <c r="B235" s="21" t="n"/>
      <c r="C235" s="21" t="n"/>
      <c r="D235" s="16" t="n"/>
      <c r="E235" s="17">
        <f>IF($B235="","",B235-IF(ROW()=2,IMPOSTAZIONI!$B$3,B234)+IF(C235="",0,C235))</f>
        <v/>
      </c>
      <c r="F235" s="18">
        <f>IF($B235="","",E235/IF(ROW()=2,IMPOSTAZIONI!$B$3,B234))</f>
        <v/>
      </c>
      <c r="G235" s="17">
        <f>IF($B235="","",IF(ROW()=2,IMPOSTAZIONI!$B$3,B234)*IMPOSTAZIONI!$B$4)</f>
        <v/>
      </c>
      <c r="H235" s="17">
        <f>IF($B235="","",G235+MIN(0,IF(D235="",E235,MIN(E235,D235-IF(ROW()=2,IMPOSTAZIONI!$B$3,B234)))))</f>
        <v/>
      </c>
      <c r="I235" s="17">
        <f>IF($B235="","",IF(D235="",B235,MIN(B235,D235))-IMPOSTAZIONI!$B$10)</f>
        <v/>
      </c>
      <c r="J235" s="17">
        <f>IF($B235="","",B235-IMPOSTAZIONI!$B$3)</f>
        <v/>
      </c>
      <c r="K235" s="19">
        <f>IF($B235="","",IF(OR(H235&lt;=0,I235&lt;=0),"VIOLAZIONE",IF(OR(H235&lt;IF(ROW()=2,IMPOSTAZIONI!$B$3,B234)*0.01,I235&lt;IMPOSTAZIONI!$B$3*0.02),"ATTENZIONE","OK")))</f>
        <v/>
      </c>
    </row>
    <row r="236">
      <c r="A236" s="20" t="n"/>
      <c r="B236" s="21" t="n"/>
      <c r="C236" s="21" t="n"/>
      <c r="D236" s="16" t="n"/>
      <c r="E236" s="17">
        <f>IF($B236="","",B236-IF(ROW()=2,IMPOSTAZIONI!$B$3,B235)+IF(C236="",0,C236))</f>
        <v/>
      </c>
      <c r="F236" s="18">
        <f>IF($B236="","",E236/IF(ROW()=2,IMPOSTAZIONI!$B$3,B235))</f>
        <v/>
      </c>
      <c r="G236" s="17">
        <f>IF($B236="","",IF(ROW()=2,IMPOSTAZIONI!$B$3,B235)*IMPOSTAZIONI!$B$4)</f>
        <v/>
      </c>
      <c r="H236" s="17">
        <f>IF($B236="","",G236+MIN(0,IF(D236="",E236,MIN(E236,D236-IF(ROW()=2,IMPOSTAZIONI!$B$3,B235)))))</f>
        <v/>
      </c>
      <c r="I236" s="17">
        <f>IF($B236="","",IF(D236="",B236,MIN(B236,D236))-IMPOSTAZIONI!$B$10)</f>
        <v/>
      </c>
      <c r="J236" s="17">
        <f>IF($B236="","",B236-IMPOSTAZIONI!$B$3)</f>
        <v/>
      </c>
      <c r="K236" s="19">
        <f>IF($B236="","",IF(OR(H236&lt;=0,I236&lt;=0),"VIOLAZIONE",IF(OR(H236&lt;IF(ROW()=2,IMPOSTAZIONI!$B$3,B235)*0.01,I236&lt;IMPOSTAZIONI!$B$3*0.02),"ATTENZIONE","OK")))</f>
        <v/>
      </c>
    </row>
    <row r="237">
      <c r="A237" s="20" t="n"/>
      <c r="B237" s="21" t="n"/>
      <c r="C237" s="21" t="n"/>
      <c r="D237" s="16" t="n"/>
      <c r="E237" s="17">
        <f>IF($B237="","",B237-IF(ROW()=2,IMPOSTAZIONI!$B$3,B236)+IF(C237="",0,C237))</f>
        <v/>
      </c>
      <c r="F237" s="18">
        <f>IF($B237="","",E237/IF(ROW()=2,IMPOSTAZIONI!$B$3,B236))</f>
        <v/>
      </c>
      <c r="G237" s="17">
        <f>IF($B237="","",IF(ROW()=2,IMPOSTAZIONI!$B$3,B236)*IMPOSTAZIONI!$B$4)</f>
        <v/>
      </c>
      <c r="H237" s="17">
        <f>IF($B237="","",G237+MIN(0,IF(D237="",E237,MIN(E237,D237-IF(ROW()=2,IMPOSTAZIONI!$B$3,B236)))))</f>
        <v/>
      </c>
      <c r="I237" s="17">
        <f>IF($B237="","",IF(D237="",B237,MIN(B237,D237))-IMPOSTAZIONI!$B$10)</f>
        <v/>
      </c>
      <c r="J237" s="17">
        <f>IF($B237="","",B237-IMPOSTAZIONI!$B$3)</f>
        <v/>
      </c>
      <c r="K237" s="19">
        <f>IF($B237="","",IF(OR(H237&lt;=0,I237&lt;=0),"VIOLAZIONE",IF(OR(H237&lt;IF(ROW()=2,IMPOSTAZIONI!$B$3,B236)*0.01,I237&lt;IMPOSTAZIONI!$B$3*0.02),"ATTENZIONE","OK")))</f>
        <v/>
      </c>
    </row>
    <row r="238">
      <c r="A238" s="20" t="n"/>
      <c r="B238" s="21" t="n"/>
      <c r="C238" s="21" t="n"/>
      <c r="D238" s="16" t="n"/>
      <c r="E238" s="17">
        <f>IF($B238="","",B238-IF(ROW()=2,IMPOSTAZIONI!$B$3,B237)+IF(C238="",0,C238))</f>
        <v/>
      </c>
      <c r="F238" s="18">
        <f>IF($B238="","",E238/IF(ROW()=2,IMPOSTAZIONI!$B$3,B237))</f>
        <v/>
      </c>
      <c r="G238" s="17">
        <f>IF($B238="","",IF(ROW()=2,IMPOSTAZIONI!$B$3,B237)*IMPOSTAZIONI!$B$4)</f>
        <v/>
      </c>
      <c r="H238" s="17">
        <f>IF($B238="","",G238+MIN(0,IF(D238="",E238,MIN(E238,D238-IF(ROW()=2,IMPOSTAZIONI!$B$3,B237)))))</f>
        <v/>
      </c>
      <c r="I238" s="17">
        <f>IF($B238="","",IF(D238="",B238,MIN(B238,D238))-IMPOSTAZIONI!$B$10)</f>
        <v/>
      </c>
      <c r="J238" s="17">
        <f>IF($B238="","",B238-IMPOSTAZIONI!$B$3)</f>
        <v/>
      </c>
      <c r="K238" s="19">
        <f>IF($B238="","",IF(OR(H238&lt;=0,I238&lt;=0),"VIOLAZIONE",IF(OR(H238&lt;IF(ROW()=2,IMPOSTAZIONI!$B$3,B237)*0.01,I238&lt;IMPOSTAZIONI!$B$3*0.02),"ATTENZIONE","OK")))</f>
        <v/>
      </c>
    </row>
    <row r="239">
      <c r="A239" s="20" t="n"/>
      <c r="B239" s="21" t="n"/>
      <c r="C239" s="21" t="n"/>
      <c r="D239" s="16" t="n"/>
      <c r="E239" s="17">
        <f>IF($B239="","",B239-IF(ROW()=2,IMPOSTAZIONI!$B$3,B238)+IF(C239="",0,C239))</f>
        <v/>
      </c>
      <c r="F239" s="18">
        <f>IF($B239="","",E239/IF(ROW()=2,IMPOSTAZIONI!$B$3,B238))</f>
        <v/>
      </c>
      <c r="G239" s="17">
        <f>IF($B239="","",IF(ROW()=2,IMPOSTAZIONI!$B$3,B238)*IMPOSTAZIONI!$B$4)</f>
        <v/>
      </c>
      <c r="H239" s="17">
        <f>IF($B239="","",G239+MIN(0,IF(D239="",E239,MIN(E239,D239-IF(ROW()=2,IMPOSTAZIONI!$B$3,B238)))))</f>
        <v/>
      </c>
      <c r="I239" s="17">
        <f>IF($B239="","",IF(D239="",B239,MIN(B239,D239))-IMPOSTAZIONI!$B$10)</f>
        <v/>
      </c>
      <c r="J239" s="17">
        <f>IF($B239="","",B239-IMPOSTAZIONI!$B$3)</f>
        <v/>
      </c>
      <c r="K239" s="19">
        <f>IF($B239="","",IF(OR(H239&lt;=0,I239&lt;=0),"VIOLAZIONE",IF(OR(H239&lt;IF(ROW()=2,IMPOSTAZIONI!$B$3,B238)*0.01,I239&lt;IMPOSTAZIONI!$B$3*0.02),"ATTENZIONE","OK")))</f>
        <v/>
      </c>
    </row>
    <row r="240">
      <c r="A240" s="20" t="n"/>
      <c r="B240" s="21" t="n"/>
      <c r="C240" s="21" t="n"/>
      <c r="D240" s="16" t="n"/>
      <c r="E240" s="17">
        <f>IF($B240="","",B240-IF(ROW()=2,IMPOSTAZIONI!$B$3,B239)+IF(C240="",0,C240))</f>
        <v/>
      </c>
      <c r="F240" s="18">
        <f>IF($B240="","",E240/IF(ROW()=2,IMPOSTAZIONI!$B$3,B239))</f>
        <v/>
      </c>
      <c r="G240" s="17">
        <f>IF($B240="","",IF(ROW()=2,IMPOSTAZIONI!$B$3,B239)*IMPOSTAZIONI!$B$4)</f>
        <v/>
      </c>
      <c r="H240" s="17">
        <f>IF($B240="","",G240+MIN(0,IF(D240="",E240,MIN(E240,D240-IF(ROW()=2,IMPOSTAZIONI!$B$3,B239)))))</f>
        <v/>
      </c>
      <c r="I240" s="17">
        <f>IF($B240="","",IF(D240="",B240,MIN(B240,D240))-IMPOSTAZIONI!$B$10)</f>
        <v/>
      </c>
      <c r="J240" s="17">
        <f>IF($B240="","",B240-IMPOSTAZIONI!$B$3)</f>
        <v/>
      </c>
      <c r="K240" s="19">
        <f>IF($B240="","",IF(OR(H240&lt;=0,I240&lt;=0),"VIOLAZIONE",IF(OR(H240&lt;IF(ROW()=2,IMPOSTAZIONI!$B$3,B239)*0.01,I240&lt;IMPOSTAZIONI!$B$3*0.02),"ATTENZIONE","OK")))</f>
        <v/>
      </c>
    </row>
    <row r="241">
      <c r="A241" s="20" t="n"/>
      <c r="B241" s="21" t="n"/>
      <c r="C241" s="21" t="n"/>
      <c r="D241" s="16" t="n"/>
      <c r="E241" s="17">
        <f>IF($B241="","",B241-IF(ROW()=2,IMPOSTAZIONI!$B$3,B240)+IF(C241="",0,C241))</f>
        <v/>
      </c>
      <c r="F241" s="18">
        <f>IF($B241="","",E241/IF(ROW()=2,IMPOSTAZIONI!$B$3,B240))</f>
        <v/>
      </c>
      <c r="G241" s="17">
        <f>IF($B241="","",IF(ROW()=2,IMPOSTAZIONI!$B$3,B240)*IMPOSTAZIONI!$B$4)</f>
        <v/>
      </c>
      <c r="H241" s="17">
        <f>IF($B241="","",G241+MIN(0,IF(D241="",E241,MIN(E241,D241-IF(ROW()=2,IMPOSTAZIONI!$B$3,B240)))))</f>
        <v/>
      </c>
      <c r="I241" s="17">
        <f>IF($B241="","",IF(D241="",B241,MIN(B241,D241))-IMPOSTAZIONI!$B$10)</f>
        <v/>
      </c>
      <c r="J241" s="17">
        <f>IF($B241="","",B241-IMPOSTAZIONI!$B$3)</f>
        <v/>
      </c>
      <c r="K241" s="19">
        <f>IF($B241="","",IF(OR(H241&lt;=0,I241&lt;=0),"VIOLAZIONE",IF(OR(H241&lt;IF(ROW()=2,IMPOSTAZIONI!$B$3,B240)*0.01,I241&lt;IMPOSTAZIONI!$B$3*0.02),"ATTENZIONE","OK")))</f>
        <v/>
      </c>
    </row>
    <row r="242">
      <c r="A242" s="20" t="n"/>
      <c r="B242" s="21" t="n"/>
      <c r="C242" s="21" t="n"/>
      <c r="D242" s="16" t="n"/>
      <c r="E242" s="17">
        <f>IF($B242="","",B242-IF(ROW()=2,IMPOSTAZIONI!$B$3,B241)+IF(C242="",0,C242))</f>
        <v/>
      </c>
      <c r="F242" s="18">
        <f>IF($B242="","",E242/IF(ROW()=2,IMPOSTAZIONI!$B$3,B241))</f>
        <v/>
      </c>
      <c r="G242" s="17">
        <f>IF($B242="","",IF(ROW()=2,IMPOSTAZIONI!$B$3,B241)*IMPOSTAZIONI!$B$4)</f>
        <v/>
      </c>
      <c r="H242" s="17">
        <f>IF($B242="","",G242+MIN(0,IF(D242="",E242,MIN(E242,D242-IF(ROW()=2,IMPOSTAZIONI!$B$3,B241)))))</f>
        <v/>
      </c>
      <c r="I242" s="17">
        <f>IF($B242="","",IF(D242="",B242,MIN(B242,D242))-IMPOSTAZIONI!$B$10)</f>
        <v/>
      </c>
      <c r="J242" s="17">
        <f>IF($B242="","",B242-IMPOSTAZIONI!$B$3)</f>
        <v/>
      </c>
      <c r="K242" s="19">
        <f>IF($B242="","",IF(OR(H242&lt;=0,I242&lt;=0),"VIOLAZIONE",IF(OR(H242&lt;IF(ROW()=2,IMPOSTAZIONI!$B$3,B241)*0.01,I242&lt;IMPOSTAZIONI!$B$3*0.02),"ATTENZIONE","OK")))</f>
        <v/>
      </c>
    </row>
    <row r="243">
      <c r="A243" s="20" t="n"/>
      <c r="B243" s="21" t="n"/>
      <c r="C243" s="21" t="n"/>
      <c r="D243" s="16" t="n"/>
      <c r="E243" s="17">
        <f>IF($B243="","",B243-IF(ROW()=2,IMPOSTAZIONI!$B$3,B242)+IF(C243="",0,C243))</f>
        <v/>
      </c>
      <c r="F243" s="18">
        <f>IF($B243="","",E243/IF(ROW()=2,IMPOSTAZIONI!$B$3,B242))</f>
        <v/>
      </c>
      <c r="G243" s="17">
        <f>IF($B243="","",IF(ROW()=2,IMPOSTAZIONI!$B$3,B242)*IMPOSTAZIONI!$B$4)</f>
        <v/>
      </c>
      <c r="H243" s="17">
        <f>IF($B243="","",G243+MIN(0,IF(D243="",E243,MIN(E243,D243-IF(ROW()=2,IMPOSTAZIONI!$B$3,B242)))))</f>
        <v/>
      </c>
      <c r="I243" s="17">
        <f>IF($B243="","",IF(D243="",B243,MIN(B243,D243))-IMPOSTAZIONI!$B$10)</f>
        <v/>
      </c>
      <c r="J243" s="17">
        <f>IF($B243="","",B243-IMPOSTAZIONI!$B$3)</f>
        <v/>
      </c>
      <c r="K243" s="19">
        <f>IF($B243="","",IF(OR(H243&lt;=0,I243&lt;=0),"VIOLAZIONE",IF(OR(H243&lt;IF(ROW()=2,IMPOSTAZIONI!$B$3,B242)*0.01,I243&lt;IMPOSTAZIONI!$B$3*0.02),"ATTENZIONE","OK")))</f>
        <v/>
      </c>
    </row>
    <row r="244">
      <c r="A244" s="20" t="n"/>
      <c r="B244" s="21" t="n"/>
      <c r="C244" s="21" t="n"/>
      <c r="D244" s="16" t="n"/>
      <c r="E244" s="17">
        <f>IF($B244="","",B244-IF(ROW()=2,IMPOSTAZIONI!$B$3,B243)+IF(C244="",0,C244))</f>
        <v/>
      </c>
      <c r="F244" s="18">
        <f>IF($B244="","",E244/IF(ROW()=2,IMPOSTAZIONI!$B$3,B243))</f>
        <v/>
      </c>
      <c r="G244" s="17">
        <f>IF($B244="","",IF(ROW()=2,IMPOSTAZIONI!$B$3,B243)*IMPOSTAZIONI!$B$4)</f>
        <v/>
      </c>
      <c r="H244" s="17">
        <f>IF($B244="","",G244+MIN(0,IF(D244="",E244,MIN(E244,D244-IF(ROW()=2,IMPOSTAZIONI!$B$3,B243)))))</f>
        <v/>
      </c>
      <c r="I244" s="17">
        <f>IF($B244="","",IF(D244="",B244,MIN(B244,D244))-IMPOSTAZIONI!$B$10)</f>
        <v/>
      </c>
      <c r="J244" s="17">
        <f>IF($B244="","",B244-IMPOSTAZIONI!$B$3)</f>
        <v/>
      </c>
      <c r="K244" s="19">
        <f>IF($B244="","",IF(OR(H244&lt;=0,I244&lt;=0),"VIOLAZIONE",IF(OR(H244&lt;IF(ROW()=2,IMPOSTAZIONI!$B$3,B243)*0.01,I244&lt;IMPOSTAZIONI!$B$3*0.02),"ATTENZIONE","OK")))</f>
        <v/>
      </c>
    </row>
    <row r="245">
      <c r="A245" s="20" t="n"/>
      <c r="B245" s="21" t="n"/>
      <c r="C245" s="21" t="n"/>
      <c r="D245" s="16" t="n"/>
      <c r="E245" s="17">
        <f>IF($B245="","",B245-IF(ROW()=2,IMPOSTAZIONI!$B$3,B244)+IF(C245="",0,C245))</f>
        <v/>
      </c>
      <c r="F245" s="18">
        <f>IF($B245="","",E245/IF(ROW()=2,IMPOSTAZIONI!$B$3,B244))</f>
        <v/>
      </c>
      <c r="G245" s="17">
        <f>IF($B245="","",IF(ROW()=2,IMPOSTAZIONI!$B$3,B244)*IMPOSTAZIONI!$B$4)</f>
        <v/>
      </c>
      <c r="H245" s="17">
        <f>IF($B245="","",G245+MIN(0,IF(D245="",E245,MIN(E245,D245-IF(ROW()=2,IMPOSTAZIONI!$B$3,B244)))))</f>
        <v/>
      </c>
      <c r="I245" s="17">
        <f>IF($B245="","",IF(D245="",B245,MIN(B245,D245))-IMPOSTAZIONI!$B$10)</f>
        <v/>
      </c>
      <c r="J245" s="17">
        <f>IF($B245="","",B245-IMPOSTAZIONI!$B$3)</f>
        <v/>
      </c>
      <c r="K245" s="19">
        <f>IF($B245="","",IF(OR(H245&lt;=0,I245&lt;=0),"VIOLAZIONE",IF(OR(H245&lt;IF(ROW()=2,IMPOSTAZIONI!$B$3,B244)*0.01,I245&lt;IMPOSTAZIONI!$B$3*0.02),"ATTENZIONE","OK")))</f>
        <v/>
      </c>
    </row>
    <row r="246">
      <c r="A246" s="20" t="n"/>
      <c r="B246" s="21" t="n"/>
      <c r="C246" s="21" t="n"/>
      <c r="D246" s="16" t="n"/>
      <c r="E246" s="17">
        <f>IF($B246="","",B246-IF(ROW()=2,IMPOSTAZIONI!$B$3,B245)+IF(C246="",0,C246))</f>
        <v/>
      </c>
      <c r="F246" s="18">
        <f>IF($B246="","",E246/IF(ROW()=2,IMPOSTAZIONI!$B$3,B245))</f>
        <v/>
      </c>
      <c r="G246" s="17">
        <f>IF($B246="","",IF(ROW()=2,IMPOSTAZIONI!$B$3,B245)*IMPOSTAZIONI!$B$4)</f>
        <v/>
      </c>
      <c r="H246" s="17">
        <f>IF($B246="","",G246+MIN(0,IF(D246="",E246,MIN(E246,D246-IF(ROW()=2,IMPOSTAZIONI!$B$3,B245)))))</f>
        <v/>
      </c>
      <c r="I246" s="17">
        <f>IF($B246="","",IF(D246="",B246,MIN(B246,D246))-IMPOSTAZIONI!$B$10)</f>
        <v/>
      </c>
      <c r="J246" s="17">
        <f>IF($B246="","",B246-IMPOSTAZIONI!$B$3)</f>
        <v/>
      </c>
      <c r="K246" s="19">
        <f>IF($B246="","",IF(OR(H246&lt;=0,I246&lt;=0),"VIOLAZIONE",IF(OR(H246&lt;IF(ROW()=2,IMPOSTAZIONI!$B$3,B245)*0.01,I246&lt;IMPOSTAZIONI!$B$3*0.02),"ATTENZIONE","OK")))</f>
        <v/>
      </c>
    </row>
    <row r="247">
      <c r="A247" s="20" t="n"/>
      <c r="B247" s="21" t="n"/>
      <c r="C247" s="21" t="n"/>
      <c r="D247" s="16" t="n"/>
      <c r="E247" s="17">
        <f>IF($B247="","",B247-IF(ROW()=2,IMPOSTAZIONI!$B$3,B246)+IF(C247="",0,C247))</f>
        <v/>
      </c>
      <c r="F247" s="18">
        <f>IF($B247="","",E247/IF(ROW()=2,IMPOSTAZIONI!$B$3,B246))</f>
        <v/>
      </c>
      <c r="G247" s="17">
        <f>IF($B247="","",IF(ROW()=2,IMPOSTAZIONI!$B$3,B246)*IMPOSTAZIONI!$B$4)</f>
        <v/>
      </c>
      <c r="H247" s="17">
        <f>IF($B247="","",G247+MIN(0,IF(D247="",E247,MIN(E247,D247-IF(ROW()=2,IMPOSTAZIONI!$B$3,B246)))))</f>
        <v/>
      </c>
      <c r="I247" s="17">
        <f>IF($B247="","",IF(D247="",B247,MIN(B247,D247))-IMPOSTAZIONI!$B$10)</f>
        <v/>
      </c>
      <c r="J247" s="17">
        <f>IF($B247="","",B247-IMPOSTAZIONI!$B$3)</f>
        <v/>
      </c>
      <c r="K247" s="19">
        <f>IF($B247="","",IF(OR(H247&lt;=0,I247&lt;=0),"VIOLAZIONE",IF(OR(H247&lt;IF(ROW()=2,IMPOSTAZIONI!$B$3,B246)*0.01,I247&lt;IMPOSTAZIONI!$B$3*0.02),"ATTENZIONE","OK")))</f>
        <v/>
      </c>
    </row>
    <row r="248">
      <c r="A248" s="20" t="n"/>
      <c r="B248" s="21" t="n"/>
      <c r="C248" s="21" t="n"/>
      <c r="D248" s="16" t="n"/>
      <c r="E248" s="17">
        <f>IF($B248="","",B248-IF(ROW()=2,IMPOSTAZIONI!$B$3,B247)+IF(C248="",0,C248))</f>
        <v/>
      </c>
      <c r="F248" s="18">
        <f>IF($B248="","",E248/IF(ROW()=2,IMPOSTAZIONI!$B$3,B247))</f>
        <v/>
      </c>
      <c r="G248" s="17">
        <f>IF($B248="","",IF(ROW()=2,IMPOSTAZIONI!$B$3,B247)*IMPOSTAZIONI!$B$4)</f>
        <v/>
      </c>
      <c r="H248" s="17">
        <f>IF($B248="","",G248+MIN(0,IF(D248="",E248,MIN(E248,D248-IF(ROW()=2,IMPOSTAZIONI!$B$3,B247)))))</f>
        <v/>
      </c>
      <c r="I248" s="17">
        <f>IF($B248="","",IF(D248="",B248,MIN(B248,D248))-IMPOSTAZIONI!$B$10)</f>
        <v/>
      </c>
      <c r="J248" s="17">
        <f>IF($B248="","",B248-IMPOSTAZIONI!$B$3)</f>
        <v/>
      </c>
      <c r="K248" s="19">
        <f>IF($B248="","",IF(OR(H248&lt;=0,I248&lt;=0),"VIOLAZIONE",IF(OR(H248&lt;IF(ROW()=2,IMPOSTAZIONI!$B$3,B247)*0.01,I248&lt;IMPOSTAZIONI!$B$3*0.02),"ATTENZIONE","OK")))</f>
        <v/>
      </c>
    </row>
    <row r="249">
      <c r="A249" s="20" t="n"/>
      <c r="B249" s="21" t="n"/>
      <c r="C249" s="21" t="n"/>
      <c r="D249" s="16" t="n"/>
      <c r="E249" s="17">
        <f>IF($B249="","",B249-IF(ROW()=2,IMPOSTAZIONI!$B$3,B248)+IF(C249="",0,C249))</f>
        <v/>
      </c>
      <c r="F249" s="18">
        <f>IF($B249="","",E249/IF(ROW()=2,IMPOSTAZIONI!$B$3,B248))</f>
        <v/>
      </c>
      <c r="G249" s="17">
        <f>IF($B249="","",IF(ROW()=2,IMPOSTAZIONI!$B$3,B248)*IMPOSTAZIONI!$B$4)</f>
        <v/>
      </c>
      <c r="H249" s="17">
        <f>IF($B249="","",G249+MIN(0,IF(D249="",E249,MIN(E249,D249-IF(ROW()=2,IMPOSTAZIONI!$B$3,B248)))))</f>
        <v/>
      </c>
      <c r="I249" s="17">
        <f>IF($B249="","",IF(D249="",B249,MIN(B249,D249))-IMPOSTAZIONI!$B$10)</f>
        <v/>
      </c>
      <c r="J249" s="17">
        <f>IF($B249="","",B249-IMPOSTAZIONI!$B$3)</f>
        <v/>
      </c>
      <c r="K249" s="19">
        <f>IF($B249="","",IF(OR(H249&lt;=0,I249&lt;=0),"VIOLAZIONE",IF(OR(H249&lt;IF(ROW()=2,IMPOSTAZIONI!$B$3,B248)*0.01,I249&lt;IMPOSTAZIONI!$B$3*0.02),"ATTENZIONE","OK")))</f>
        <v/>
      </c>
    </row>
    <row r="250">
      <c r="A250" s="20" t="n"/>
      <c r="B250" s="21" t="n"/>
      <c r="C250" s="21" t="n"/>
      <c r="D250" s="16" t="n"/>
      <c r="E250" s="17">
        <f>IF($B250="","",B250-IF(ROW()=2,IMPOSTAZIONI!$B$3,B249)+IF(C250="",0,C250))</f>
        <v/>
      </c>
      <c r="F250" s="18">
        <f>IF($B250="","",E250/IF(ROW()=2,IMPOSTAZIONI!$B$3,B249))</f>
        <v/>
      </c>
      <c r="G250" s="17">
        <f>IF($B250="","",IF(ROW()=2,IMPOSTAZIONI!$B$3,B249)*IMPOSTAZIONI!$B$4)</f>
        <v/>
      </c>
      <c r="H250" s="17">
        <f>IF($B250="","",G250+MIN(0,IF(D250="",E250,MIN(E250,D250-IF(ROW()=2,IMPOSTAZIONI!$B$3,B249)))))</f>
        <v/>
      </c>
      <c r="I250" s="17">
        <f>IF($B250="","",IF(D250="",B250,MIN(B250,D250))-IMPOSTAZIONI!$B$10)</f>
        <v/>
      </c>
      <c r="J250" s="17">
        <f>IF($B250="","",B250-IMPOSTAZIONI!$B$3)</f>
        <v/>
      </c>
      <c r="K250" s="19">
        <f>IF($B250="","",IF(OR(H250&lt;=0,I250&lt;=0),"VIOLAZIONE",IF(OR(H250&lt;IF(ROW()=2,IMPOSTAZIONI!$B$3,B249)*0.01,I250&lt;IMPOSTAZIONI!$B$3*0.02),"ATTENZIONE","OK")))</f>
        <v/>
      </c>
    </row>
    <row r="251">
      <c r="A251" s="20" t="n"/>
      <c r="B251" s="21" t="n"/>
      <c r="C251" s="21" t="n"/>
      <c r="D251" s="16" t="n"/>
      <c r="E251" s="17">
        <f>IF($B251="","",B251-IF(ROW()=2,IMPOSTAZIONI!$B$3,B250)+IF(C251="",0,C251))</f>
        <v/>
      </c>
      <c r="F251" s="18">
        <f>IF($B251="","",E251/IF(ROW()=2,IMPOSTAZIONI!$B$3,B250))</f>
        <v/>
      </c>
      <c r="G251" s="17">
        <f>IF($B251="","",IF(ROW()=2,IMPOSTAZIONI!$B$3,B250)*IMPOSTAZIONI!$B$4)</f>
        <v/>
      </c>
      <c r="H251" s="17">
        <f>IF($B251="","",G251+MIN(0,IF(D251="",E251,MIN(E251,D251-IF(ROW()=2,IMPOSTAZIONI!$B$3,B250)))))</f>
        <v/>
      </c>
      <c r="I251" s="17">
        <f>IF($B251="","",IF(D251="",B251,MIN(B251,D251))-IMPOSTAZIONI!$B$10)</f>
        <v/>
      </c>
      <c r="J251" s="17">
        <f>IF($B251="","",B251-IMPOSTAZIONI!$B$3)</f>
        <v/>
      </c>
      <c r="K251" s="19">
        <f>IF($B251="","",IF(OR(H251&lt;=0,I251&lt;=0),"VIOLAZIONE",IF(OR(H251&lt;IF(ROW()=2,IMPOSTAZIONI!$B$3,B250)*0.01,I251&lt;IMPOSTAZIONI!$B$3*0.02),"ATTENZIONE","OK")))</f>
        <v/>
      </c>
    </row>
  </sheetData>
  <conditionalFormatting sqref="K2:K251">
    <cfRule type="expression" priority="1" dxfId="0">
      <formula>$K2="VIOLAZIONE"</formula>
    </cfRule>
    <cfRule type="expression" priority="2" dxfId="1">
      <formula>$K2="ATTENZIONE"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22" customWidth="1" min="5" max="5"/>
    <col width="40" customWidth="1" min="6" max="6"/>
  </cols>
  <sheetData>
    <row r="1">
      <c r="A1" s="13" t="inlineStr">
        <is>
          <t>Data richiesta</t>
        </is>
      </c>
      <c r="B1" s="13" t="inlineStr">
        <is>
          <t>Importo richiesto (EUR)</t>
        </is>
      </c>
      <c r="C1" s="13" t="inlineStr">
        <is>
          <t>Quota tua (EUR, x split)</t>
        </is>
      </c>
      <c r="D1" s="13" t="inlineStr">
        <is>
          <t>Data accredito (facolt.)</t>
        </is>
      </c>
      <c r="E1" s="13" t="inlineStr">
        <is>
          <t>Cumulato prelevato (EUR)</t>
        </is>
      </c>
      <c r="F1" s="13" t="inlineStr">
        <is>
          <t>Note</t>
        </is>
      </c>
    </row>
    <row r="2">
      <c r="A2" s="14">
        <f>DATE(2026,10,20)</f>
        <v/>
      </c>
      <c r="B2" s="15" t="n">
        <v>3000</v>
      </c>
      <c r="C2" s="17">
        <f>IF(B2="","",B2*IMPOSTAZIONI!$B$6)</f>
        <v/>
      </c>
      <c r="D2" s="22" t="n"/>
      <c r="E2" s="17">
        <f>IF(B2="","",SUM($B$2:B2))</f>
        <v/>
      </c>
      <c r="F2" s="23" t="inlineStr">
        <is>
          <t>RIGA DI ESEMPIO: sovrascrivere</t>
        </is>
      </c>
    </row>
    <row r="3">
      <c r="A3" s="20" t="n"/>
      <c r="B3" s="21" t="n"/>
      <c r="C3" s="17">
        <f>IF(B3="","",B3*IMPOSTAZIONI!$B$6)</f>
        <v/>
      </c>
      <c r="D3" s="22" t="n"/>
      <c r="E3" s="17">
        <f>IF(B3="","",SUM($B$2:B3))</f>
        <v/>
      </c>
      <c r="F3" s="23" t="n"/>
    </row>
    <row r="4">
      <c r="A4" s="20" t="n"/>
      <c r="B4" s="21" t="n"/>
      <c r="C4" s="17">
        <f>IF(B4="","",B4*IMPOSTAZIONI!$B$6)</f>
        <v/>
      </c>
      <c r="D4" s="22" t="n"/>
      <c r="E4" s="17">
        <f>IF(B4="","",SUM($B$2:B4))</f>
        <v/>
      </c>
      <c r="F4" s="23" t="n"/>
    </row>
    <row r="5">
      <c r="A5" s="20" t="n"/>
      <c r="B5" s="21" t="n"/>
      <c r="C5" s="17">
        <f>IF(B5="","",B5*IMPOSTAZIONI!$B$6)</f>
        <v/>
      </c>
      <c r="D5" s="22" t="n"/>
      <c r="E5" s="17">
        <f>IF(B5="","",SUM($B$2:B5))</f>
        <v/>
      </c>
      <c r="F5" s="23" t="n"/>
    </row>
    <row r="6">
      <c r="A6" s="20" t="n"/>
      <c r="B6" s="21" t="n"/>
      <c r="C6" s="17">
        <f>IF(B6="","",B6*IMPOSTAZIONI!$B$6)</f>
        <v/>
      </c>
      <c r="D6" s="22" t="n"/>
      <c r="E6" s="17">
        <f>IF(B6="","",SUM($B$2:B6))</f>
        <v/>
      </c>
      <c r="F6" s="23" t="n"/>
    </row>
    <row r="7">
      <c r="A7" s="20" t="n"/>
      <c r="B7" s="21" t="n"/>
      <c r="C7" s="17">
        <f>IF(B7="","",B7*IMPOSTAZIONI!$B$6)</f>
        <v/>
      </c>
      <c r="D7" s="22" t="n"/>
      <c r="E7" s="17">
        <f>IF(B7="","",SUM($B$2:B7))</f>
        <v/>
      </c>
      <c r="F7" s="23" t="n"/>
    </row>
    <row r="8">
      <c r="A8" s="20" t="n"/>
      <c r="B8" s="21" t="n"/>
      <c r="C8" s="17">
        <f>IF(B8="","",B8*IMPOSTAZIONI!$B$6)</f>
        <v/>
      </c>
      <c r="D8" s="22" t="n"/>
      <c r="E8" s="17">
        <f>IF(B8="","",SUM($B$2:B8))</f>
        <v/>
      </c>
      <c r="F8" s="23" t="n"/>
    </row>
    <row r="9">
      <c r="A9" s="20" t="n"/>
      <c r="B9" s="21" t="n"/>
      <c r="C9" s="17">
        <f>IF(B9="","",B9*IMPOSTAZIONI!$B$6)</f>
        <v/>
      </c>
      <c r="D9" s="22" t="n"/>
      <c r="E9" s="17">
        <f>IF(B9="","",SUM($B$2:B9))</f>
        <v/>
      </c>
      <c r="F9" s="23" t="n"/>
    </row>
    <row r="10">
      <c r="A10" s="20" t="n"/>
      <c r="B10" s="21" t="n"/>
      <c r="C10" s="17">
        <f>IF(B10="","",B10*IMPOSTAZIONI!$B$6)</f>
        <v/>
      </c>
      <c r="D10" s="22" t="n"/>
      <c r="E10" s="17">
        <f>IF(B10="","",SUM($B$2:B10))</f>
        <v/>
      </c>
      <c r="F10" s="23" t="n"/>
    </row>
    <row r="11">
      <c r="A11" s="20" t="n"/>
      <c r="B11" s="21" t="n"/>
      <c r="C11" s="17">
        <f>IF(B11="","",B11*IMPOSTAZIONI!$B$6)</f>
        <v/>
      </c>
      <c r="D11" s="22" t="n"/>
      <c r="E11" s="17">
        <f>IF(B11="","",SUM($B$2:B11))</f>
        <v/>
      </c>
      <c r="F11" s="23" t="n"/>
    </row>
    <row r="12">
      <c r="A12" s="20" t="n"/>
      <c r="B12" s="21" t="n"/>
      <c r="C12" s="17">
        <f>IF(B12="","",B12*IMPOSTAZIONI!$B$6)</f>
        <v/>
      </c>
      <c r="D12" s="22" t="n"/>
      <c r="E12" s="17">
        <f>IF(B12="","",SUM($B$2:B12))</f>
        <v/>
      </c>
      <c r="F12" s="23" t="n"/>
    </row>
    <row r="13">
      <c r="A13" s="20" t="n"/>
      <c r="B13" s="21" t="n"/>
      <c r="C13" s="17">
        <f>IF(B13="","",B13*IMPOSTAZIONI!$B$6)</f>
        <v/>
      </c>
      <c r="D13" s="22" t="n"/>
      <c r="E13" s="17">
        <f>IF(B13="","",SUM($B$2:B13))</f>
        <v/>
      </c>
      <c r="F13" s="23" t="n"/>
    </row>
    <row r="14">
      <c r="A14" s="20" t="n"/>
      <c r="B14" s="21" t="n"/>
      <c r="C14" s="17">
        <f>IF(B14="","",B14*IMPOSTAZIONI!$B$6)</f>
        <v/>
      </c>
      <c r="D14" s="22" t="n"/>
      <c r="E14" s="17">
        <f>IF(B14="","",SUM($B$2:B14))</f>
        <v/>
      </c>
      <c r="F14" s="23" t="n"/>
    </row>
    <row r="15">
      <c r="A15" s="20" t="n"/>
      <c r="B15" s="21" t="n"/>
      <c r="C15" s="17">
        <f>IF(B15="","",B15*IMPOSTAZIONI!$B$6)</f>
        <v/>
      </c>
      <c r="D15" s="22" t="n"/>
      <c r="E15" s="17">
        <f>IF(B15="","",SUM($B$2:B15))</f>
        <v/>
      </c>
      <c r="F15" s="23" t="n"/>
    </row>
    <row r="16">
      <c r="A16" s="20" t="n"/>
      <c r="B16" s="21" t="n"/>
      <c r="C16" s="17">
        <f>IF(B16="","",B16*IMPOSTAZIONI!$B$6)</f>
        <v/>
      </c>
      <c r="D16" s="22" t="n"/>
      <c r="E16" s="17">
        <f>IF(B16="","",SUM($B$2:B16))</f>
        <v/>
      </c>
      <c r="F16" s="23" t="n"/>
    </row>
    <row r="17">
      <c r="A17" s="20" t="n"/>
      <c r="B17" s="21" t="n"/>
      <c r="C17" s="17">
        <f>IF(B17="","",B17*IMPOSTAZIONI!$B$6)</f>
        <v/>
      </c>
      <c r="D17" s="22" t="n"/>
      <c r="E17" s="17">
        <f>IF(B17="","",SUM($B$2:B17))</f>
        <v/>
      </c>
      <c r="F17" s="23" t="n"/>
    </row>
    <row r="18">
      <c r="A18" s="20" t="n"/>
      <c r="B18" s="21" t="n"/>
      <c r="C18" s="17">
        <f>IF(B18="","",B18*IMPOSTAZIONI!$B$6)</f>
        <v/>
      </c>
      <c r="D18" s="22" t="n"/>
      <c r="E18" s="17">
        <f>IF(B18="","",SUM($B$2:B18))</f>
        <v/>
      </c>
      <c r="F18" s="23" t="n"/>
    </row>
    <row r="19">
      <c r="A19" s="20" t="n"/>
      <c r="B19" s="21" t="n"/>
      <c r="C19" s="17">
        <f>IF(B19="","",B19*IMPOSTAZIONI!$B$6)</f>
        <v/>
      </c>
      <c r="D19" s="22" t="n"/>
      <c r="E19" s="17">
        <f>IF(B19="","",SUM($B$2:B19))</f>
        <v/>
      </c>
      <c r="F19" s="23" t="n"/>
    </row>
    <row r="20">
      <c r="A20" s="20" t="n"/>
      <c r="B20" s="21" t="n"/>
      <c r="C20" s="17">
        <f>IF(B20="","",B20*IMPOSTAZIONI!$B$6)</f>
        <v/>
      </c>
      <c r="D20" s="22" t="n"/>
      <c r="E20" s="17">
        <f>IF(B20="","",SUM($B$2:B20))</f>
        <v/>
      </c>
      <c r="F20" s="23" t="n"/>
    </row>
    <row r="21">
      <c r="A21" s="20" t="n"/>
      <c r="B21" s="21" t="n"/>
      <c r="C21" s="17">
        <f>IF(B21="","",B21*IMPOSTAZIONI!$B$6)</f>
        <v/>
      </c>
      <c r="D21" s="22" t="n"/>
      <c r="E21" s="17">
        <f>IF(B21="","",SUM($B$2:B21))</f>
        <v/>
      </c>
      <c r="F21" s="23" t="n"/>
    </row>
    <row r="22">
      <c r="A22" s="20" t="n"/>
      <c r="B22" s="21" t="n"/>
      <c r="C22" s="17">
        <f>IF(B22="","",B22*IMPOSTAZIONI!$B$6)</f>
        <v/>
      </c>
      <c r="D22" s="22" t="n"/>
      <c r="E22" s="17">
        <f>IF(B22="","",SUM($B$2:B22))</f>
        <v/>
      </c>
      <c r="F22" s="23" t="n"/>
    </row>
    <row r="23">
      <c r="A23" s="20" t="n"/>
      <c r="B23" s="21" t="n"/>
      <c r="C23" s="17">
        <f>IF(B23="","",B23*IMPOSTAZIONI!$B$6)</f>
        <v/>
      </c>
      <c r="D23" s="22" t="n"/>
      <c r="E23" s="17">
        <f>IF(B23="","",SUM($B$2:B23))</f>
        <v/>
      </c>
      <c r="F23" s="23" t="n"/>
    </row>
    <row r="24">
      <c r="A24" s="20" t="n"/>
      <c r="B24" s="21" t="n"/>
      <c r="C24" s="17">
        <f>IF(B24="","",B24*IMPOSTAZIONI!$B$6)</f>
        <v/>
      </c>
      <c r="D24" s="22" t="n"/>
      <c r="E24" s="17">
        <f>IF(B24="","",SUM($B$2:B24))</f>
        <v/>
      </c>
      <c r="F24" s="23" t="n"/>
    </row>
    <row r="25">
      <c r="A25" s="20" t="n"/>
      <c r="B25" s="21" t="n"/>
      <c r="C25" s="17">
        <f>IF(B25="","",B25*IMPOSTAZIONI!$B$6)</f>
        <v/>
      </c>
      <c r="D25" s="22" t="n"/>
      <c r="E25" s="17">
        <f>IF(B25="","",SUM($B$2:B25))</f>
        <v/>
      </c>
      <c r="F25" s="23" t="n"/>
    </row>
    <row r="26">
      <c r="A26" s="20" t="n"/>
      <c r="B26" s="21" t="n"/>
      <c r="C26" s="17">
        <f>IF(B26="","",B26*IMPOSTAZIONI!$B$6)</f>
        <v/>
      </c>
      <c r="D26" s="22" t="n"/>
      <c r="E26" s="17">
        <f>IF(B26="","",SUM($B$2:B26))</f>
        <v/>
      </c>
      <c r="F26" s="23" t="n"/>
    </row>
    <row r="27">
      <c r="A27" s="20" t="n"/>
      <c r="B27" s="21" t="n"/>
      <c r="C27" s="17">
        <f>IF(B27="","",B27*IMPOSTAZIONI!$B$6)</f>
        <v/>
      </c>
      <c r="D27" s="22" t="n"/>
      <c r="E27" s="17">
        <f>IF(B27="","",SUM($B$2:B27))</f>
        <v/>
      </c>
      <c r="F27" s="23" t="n"/>
    </row>
    <row r="28">
      <c r="A28" s="20" t="n"/>
      <c r="B28" s="21" t="n"/>
      <c r="C28" s="17">
        <f>IF(B28="","",B28*IMPOSTAZIONI!$B$6)</f>
        <v/>
      </c>
      <c r="D28" s="22" t="n"/>
      <c r="E28" s="17">
        <f>IF(B28="","",SUM($B$2:B28))</f>
        <v/>
      </c>
      <c r="F28" s="23" t="n"/>
    </row>
    <row r="29">
      <c r="A29" s="20" t="n"/>
      <c r="B29" s="21" t="n"/>
      <c r="C29" s="17">
        <f>IF(B29="","",B29*IMPOSTAZIONI!$B$6)</f>
        <v/>
      </c>
      <c r="D29" s="22" t="n"/>
      <c r="E29" s="17">
        <f>IF(B29="","",SUM($B$2:B29))</f>
        <v/>
      </c>
      <c r="F29" s="23" t="n"/>
    </row>
    <row r="30">
      <c r="A30" s="20" t="n"/>
      <c r="B30" s="21" t="n"/>
      <c r="C30" s="17">
        <f>IF(B30="","",B30*IMPOSTAZIONI!$B$6)</f>
        <v/>
      </c>
      <c r="D30" s="22" t="n"/>
      <c r="E30" s="17">
        <f>IF(B30="","",SUM($B$2:B30))</f>
        <v/>
      </c>
      <c r="F30" s="23" t="n"/>
    </row>
    <row r="31">
      <c r="A31" s="20" t="n"/>
      <c r="B31" s="21" t="n"/>
      <c r="C31" s="17">
        <f>IF(B31="","",B31*IMPOSTAZIONI!$B$6)</f>
        <v/>
      </c>
      <c r="D31" s="22" t="n"/>
      <c r="E31" s="17">
        <f>IF(B31="","",SUM($B$2:B31))</f>
        <v/>
      </c>
      <c r="F31" s="23" t="n"/>
    </row>
    <row r="32">
      <c r="A32" s="20" t="n"/>
      <c r="B32" s="21" t="n"/>
      <c r="C32" s="17">
        <f>IF(B32="","",B32*IMPOSTAZIONI!$B$6)</f>
        <v/>
      </c>
      <c r="D32" s="22" t="n"/>
      <c r="E32" s="17">
        <f>IF(B32="","",SUM($B$2:B32))</f>
        <v/>
      </c>
      <c r="F32" s="23" t="n"/>
    </row>
    <row r="33">
      <c r="A33" s="20" t="n"/>
      <c r="B33" s="21" t="n"/>
      <c r="C33" s="17">
        <f>IF(B33="","",B33*IMPOSTAZIONI!$B$6)</f>
        <v/>
      </c>
      <c r="D33" s="22" t="n"/>
      <c r="E33" s="17">
        <f>IF(B33="","",SUM($B$2:B33))</f>
        <v/>
      </c>
      <c r="F33" s="23" t="n"/>
    </row>
    <row r="34">
      <c r="A34" s="20" t="n"/>
      <c r="B34" s="21" t="n"/>
      <c r="C34" s="17">
        <f>IF(B34="","",B34*IMPOSTAZIONI!$B$6)</f>
        <v/>
      </c>
      <c r="D34" s="22" t="n"/>
      <c r="E34" s="17">
        <f>IF(B34="","",SUM($B$2:B34))</f>
        <v/>
      </c>
      <c r="F34" s="23" t="n"/>
    </row>
    <row r="35">
      <c r="A35" s="20" t="n"/>
      <c r="B35" s="21" t="n"/>
      <c r="C35" s="17">
        <f>IF(B35="","",B35*IMPOSTAZIONI!$B$6)</f>
        <v/>
      </c>
      <c r="D35" s="22" t="n"/>
      <c r="E35" s="17">
        <f>IF(B35="","",SUM($B$2:B35))</f>
        <v/>
      </c>
      <c r="F35" s="23" t="n"/>
    </row>
    <row r="36">
      <c r="A36" s="20" t="n"/>
      <c r="B36" s="21" t="n"/>
      <c r="C36" s="17">
        <f>IF(B36="","",B36*IMPOSTAZIONI!$B$6)</f>
        <v/>
      </c>
      <c r="D36" s="22" t="n"/>
      <c r="E36" s="17">
        <f>IF(B36="","",SUM($B$2:B36))</f>
        <v/>
      </c>
      <c r="F36" s="23" t="n"/>
    </row>
    <row r="37">
      <c r="A37" s="20" t="n"/>
      <c r="B37" s="21" t="n"/>
      <c r="C37" s="17">
        <f>IF(B37="","",B37*IMPOSTAZIONI!$B$6)</f>
        <v/>
      </c>
      <c r="D37" s="22" t="n"/>
      <c r="E37" s="17">
        <f>IF(B37="","",SUM($B$2:B37))</f>
        <v/>
      </c>
      <c r="F37" s="23" t="n"/>
    </row>
    <row r="38">
      <c r="A38" s="20" t="n"/>
      <c r="B38" s="21" t="n"/>
      <c r="C38" s="17">
        <f>IF(B38="","",B38*IMPOSTAZIONI!$B$6)</f>
        <v/>
      </c>
      <c r="D38" s="22" t="n"/>
      <c r="E38" s="17">
        <f>IF(B38="","",SUM($B$2:B38))</f>
        <v/>
      </c>
      <c r="F38" s="23" t="n"/>
    </row>
    <row r="39">
      <c r="A39" s="20" t="n"/>
      <c r="B39" s="21" t="n"/>
      <c r="C39" s="17">
        <f>IF(B39="","",B39*IMPOSTAZIONI!$B$6)</f>
        <v/>
      </c>
      <c r="D39" s="22" t="n"/>
      <c r="E39" s="17">
        <f>IF(B39="","",SUM($B$2:B39))</f>
        <v/>
      </c>
      <c r="F39" s="23" t="n"/>
    </row>
    <row r="40">
      <c r="A40" s="20" t="n"/>
      <c r="B40" s="21" t="n"/>
      <c r="C40" s="17">
        <f>IF(B40="","",B40*IMPOSTAZIONI!$B$6)</f>
        <v/>
      </c>
      <c r="D40" s="22" t="n"/>
      <c r="E40" s="17">
        <f>IF(B40="","",SUM($B$2:B40))</f>
        <v/>
      </c>
      <c r="F40" s="23" t="n"/>
    </row>
    <row r="41">
      <c r="A41" s="20" t="n"/>
      <c r="B41" s="21" t="n"/>
      <c r="C41" s="17">
        <f>IF(B41="","",B41*IMPOSTAZIONI!$B$6)</f>
        <v/>
      </c>
      <c r="D41" s="22" t="n"/>
      <c r="E41" s="17">
        <f>IF(B41="","",SUM($B$2:B41))</f>
        <v/>
      </c>
      <c r="F41" s="23" t="n"/>
    </row>
    <row r="42">
      <c r="A42" s="20" t="n"/>
      <c r="B42" s="21" t="n"/>
      <c r="C42" s="17">
        <f>IF(B42="","",B42*IMPOSTAZIONI!$B$6)</f>
        <v/>
      </c>
      <c r="D42" s="22" t="n"/>
      <c r="E42" s="17">
        <f>IF(B42="","",SUM($B$2:B42))</f>
        <v/>
      </c>
      <c r="F42" s="23" t="n"/>
    </row>
    <row r="43">
      <c r="A43" s="20" t="n"/>
      <c r="B43" s="21" t="n"/>
      <c r="C43" s="17">
        <f>IF(B43="","",B43*IMPOSTAZIONI!$B$6)</f>
        <v/>
      </c>
      <c r="D43" s="22" t="n"/>
      <c r="E43" s="17">
        <f>IF(B43="","",SUM($B$2:B43))</f>
        <v/>
      </c>
      <c r="F43" s="23" t="n"/>
    </row>
    <row r="44">
      <c r="A44" s="20" t="n"/>
      <c r="B44" s="21" t="n"/>
      <c r="C44" s="17">
        <f>IF(B44="","",B44*IMPOSTAZIONI!$B$6)</f>
        <v/>
      </c>
      <c r="D44" s="22" t="n"/>
      <c r="E44" s="17">
        <f>IF(B44="","",SUM($B$2:B44))</f>
        <v/>
      </c>
      <c r="F44" s="23" t="n"/>
    </row>
    <row r="45">
      <c r="A45" s="20" t="n"/>
      <c r="B45" s="21" t="n"/>
      <c r="C45" s="17">
        <f>IF(B45="","",B45*IMPOSTAZIONI!$B$6)</f>
        <v/>
      </c>
      <c r="D45" s="22" t="n"/>
      <c r="E45" s="17">
        <f>IF(B45="","",SUM($B$2:B45))</f>
        <v/>
      </c>
      <c r="F45" s="23" t="n"/>
    </row>
    <row r="46">
      <c r="A46" s="20" t="n"/>
      <c r="B46" s="21" t="n"/>
      <c r="C46" s="17">
        <f>IF(B46="","",B46*IMPOSTAZIONI!$B$6)</f>
        <v/>
      </c>
      <c r="D46" s="22" t="n"/>
      <c r="E46" s="17">
        <f>IF(B46="","",SUM($B$2:B46))</f>
        <v/>
      </c>
      <c r="F46" s="23" t="n"/>
    </row>
    <row r="47">
      <c r="A47" s="20" t="n"/>
      <c r="B47" s="21" t="n"/>
      <c r="C47" s="17">
        <f>IF(B47="","",B47*IMPOSTAZIONI!$B$6)</f>
        <v/>
      </c>
      <c r="D47" s="22" t="n"/>
      <c r="E47" s="17">
        <f>IF(B47="","",SUM($B$2:B47))</f>
        <v/>
      </c>
      <c r="F47" s="23" t="n"/>
    </row>
    <row r="48">
      <c r="A48" s="20" t="n"/>
      <c r="B48" s="21" t="n"/>
      <c r="C48" s="17">
        <f>IF(B48="","",B48*IMPOSTAZIONI!$B$6)</f>
        <v/>
      </c>
      <c r="D48" s="22" t="n"/>
      <c r="E48" s="17">
        <f>IF(B48="","",SUM($B$2:B48))</f>
        <v/>
      </c>
      <c r="F48" s="23" t="n"/>
    </row>
    <row r="49">
      <c r="A49" s="20" t="n"/>
      <c r="B49" s="21" t="n"/>
      <c r="C49" s="17">
        <f>IF(B49="","",B49*IMPOSTAZIONI!$B$6)</f>
        <v/>
      </c>
      <c r="D49" s="22" t="n"/>
      <c r="E49" s="17">
        <f>IF(B49="","",SUM($B$2:B49))</f>
        <v/>
      </c>
      <c r="F49" s="23" t="n"/>
    </row>
    <row r="50">
      <c r="A50" s="20" t="n"/>
      <c r="B50" s="21" t="n"/>
      <c r="C50" s="17">
        <f>IF(B50="","",B50*IMPOSTAZIONI!$B$6)</f>
        <v/>
      </c>
      <c r="D50" s="22" t="n"/>
      <c r="E50" s="17">
        <f>IF(B50="","",SUM($B$2:B50))</f>
        <v/>
      </c>
      <c r="F50" s="23" t="n"/>
    </row>
    <row r="51">
      <c r="A51" s="20" t="n"/>
      <c r="B51" s="21" t="n"/>
      <c r="C51" s="17">
        <f>IF(B51="","",B51*IMPOSTAZIONI!$B$6)</f>
        <v/>
      </c>
      <c r="D51" s="22" t="n"/>
      <c r="E51" s="17">
        <f>IF(B51="","",SUM($B$2:B51))</f>
        <v/>
      </c>
      <c r="F51" s="23" t="n"/>
    </row>
    <row r="52">
      <c r="A52" s="20" t="n"/>
      <c r="B52" s="21" t="n"/>
      <c r="C52" s="17">
        <f>IF(B52="","",B52*IMPOSTAZIONI!$B$6)</f>
        <v/>
      </c>
      <c r="D52" s="22" t="n"/>
      <c r="E52" s="17">
        <f>IF(B52="","",SUM($B$2:B52))</f>
        <v/>
      </c>
      <c r="F52" s="23" t="n"/>
    </row>
    <row r="53">
      <c r="A53" s="20" t="n"/>
      <c r="B53" s="21" t="n"/>
      <c r="C53" s="17">
        <f>IF(B53="","",B53*IMPOSTAZIONI!$B$6)</f>
        <v/>
      </c>
      <c r="D53" s="22" t="n"/>
      <c r="E53" s="17">
        <f>IF(B53="","",SUM($B$2:B53))</f>
        <v/>
      </c>
      <c r="F53" s="23" t="n"/>
    </row>
    <row r="54">
      <c r="A54" s="20" t="n"/>
      <c r="B54" s="21" t="n"/>
      <c r="C54" s="17">
        <f>IF(B54="","",B54*IMPOSTAZIONI!$B$6)</f>
        <v/>
      </c>
      <c r="D54" s="22" t="n"/>
      <c r="E54" s="17">
        <f>IF(B54="","",SUM($B$2:B54))</f>
        <v/>
      </c>
      <c r="F54" s="23" t="n"/>
    </row>
    <row r="55">
      <c r="A55" s="20" t="n"/>
      <c r="B55" s="21" t="n"/>
      <c r="C55" s="17">
        <f>IF(B55="","",B55*IMPOSTAZIONI!$B$6)</f>
        <v/>
      </c>
      <c r="D55" s="22" t="n"/>
      <c r="E55" s="17">
        <f>IF(B55="","",SUM($B$2:B55))</f>
        <v/>
      </c>
      <c r="F55" s="23" t="n"/>
    </row>
    <row r="56">
      <c r="A56" s="20" t="n"/>
      <c r="B56" s="21" t="n"/>
      <c r="C56" s="17">
        <f>IF(B56="","",B56*IMPOSTAZIONI!$B$6)</f>
        <v/>
      </c>
      <c r="D56" s="22" t="n"/>
      <c r="E56" s="17">
        <f>IF(B56="","",SUM($B$2:B56))</f>
        <v/>
      </c>
      <c r="F56" s="23" t="n"/>
    </row>
    <row r="57">
      <c r="A57" s="20" t="n"/>
      <c r="B57" s="21" t="n"/>
      <c r="C57" s="17">
        <f>IF(B57="","",B57*IMPOSTAZIONI!$B$6)</f>
        <v/>
      </c>
      <c r="D57" s="22" t="n"/>
      <c r="E57" s="17">
        <f>IF(B57="","",SUM($B$2:B57))</f>
        <v/>
      </c>
      <c r="F57" s="23" t="n"/>
    </row>
    <row r="58">
      <c r="A58" s="20" t="n"/>
      <c r="B58" s="21" t="n"/>
      <c r="C58" s="17">
        <f>IF(B58="","",B58*IMPOSTAZIONI!$B$6)</f>
        <v/>
      </c>
      <c r="D58" s="22" t="n"/>
      <c r="E58" s="17">
        <f>IF(B58="","",SUM($B$2:B58))</f>
        <v/>
      </c>
      <c r="F58" s="23" t="n"/>
    </row>
    <row r="59">
      <c r="A59" s="20" t="n"/>
      <c r="B59" s="21" t="n"/>
      <c r="C59" s="17">
        <f>IF(B59="","",B59*IMPOSTAZIONI!$B$6)</f>
        <v/>
      </c>
      <c r="D59" s="22" t="n"/>
      <c r="E59" s="17">
        <f>IF(B59="","",SUM($B$2:B59))</f>
        <v/>
      </c>
      <c r="F59" s="23" t="n"/>
    </row>
    <row r="60">
      <c r="A60" s="20" t="n"/>
      <c r="B60" s="21" t="n"/>
      <c r="C60" s="17">
        <f>IF(B60="","",B60*IMPOSTAZIONI!$B$6)</f>
        <v/>
      </c>
      <c r="D60" s="22" t="n"/>
      <c r="E60" s="17">
        <f>IF(B60="","",SUM($B$2:B60))</f>
        <v/>
      </c>
      <c r="F60" s="23" t="n"/>
    </row>
    <row r="61">
      <c r="A61" s="20" t="n"/>
      <c r="B61" s="21" t="n"/>
      <c r="C61" s="17">
        <f>IF(B61="","",B61*IMPOSTAZIONI!$B$6)</f>
        <v/>
      </c>
      <c r="D61" s="22" t="n"/>
      <c r="E61" s="17">
        <f>IF(B61="","",SUM($B$2:B61))</f>
        <v/>
      </c>
      <c r="F61" s="2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64" customWidth="1" min="3" max="3"/>
  </cols>
  <sheetData>
    <row r="1">
      <c r="A1" s="4" t="inlineStr">
        <is>
          <t>DASHBOARD - si aggiorna da sola</t>
        </is>
      </c>
    </row>
    <row r="3">
      <c r="A3" s="5" t="inlineStr">
        <is>
          <t>Giorni registrati</t>
        </is>
      </c>
      <c r="B3" s="24">
        <f>COUNT(GIORNALIERO!B2:B251)</f>
        <v/>
      </c>
      <c r="C3" s="25" t="inlineStr"/>
    </row>
    <row r="4">
      <c r="A4" s="5" t="inlineStr">
        <is>
          <t>Equity attuale</t>
        </is>
      </c>
      <c r="B4" s="26">
        <f>IFERROR(INDEX(GIORNALIERO!B2:B251,COUNT(GIORNALIERO!$B$2:$B$251)),IMPOSTAZIONI!B3)</f>
        <v/>
      </c>
      <c r="C4" s="25" t="inlineStr">
        <is>
          <t>ultima equity di chiusura inserita</t>
        </is>
      </c>
    </row>
    <row r="5">
      <c r="A5" s="5" t="inlineStr">
        <is>
          <t>Profitto totale generato (equity + prelievi - iniziale)</t>
        </is>
      </c>
      <c r="B5" s="26">
        <f>IFERROR(INDEX(GIORNALIERO!B2:B251,COUNT(GIORNALIERO!$B$2:$B$251)),IMPOSTAZIONI!B3)+SUM(PRELIEVI!B2:B61)-IMPOSTAZIONI!B3</f>
        <v/>
      </c>
      <c r="C5" s="25" t="inlineStr"/>
    </row>
    <row r="6">
      <c r="A6" s="5" t="inlineStr">
        <is>
          <t>Profitto totale in % della taglia</t>
        </is>
      </c>
      <c r="B6" s="27">
        <f>B5/IMPOSTAZIONI!B3</f>
        <v/>
      </c>
      <c r="C6" s="25" t="inlineStr">
        <is>
          <t>il target di challenge tipico e' +8/+10%</t>
        </is>
      </c>
    </row>
    <row r="7">
      <c r="A7" s="5" t="inlineStr">
        <is>
          <t>Prelevato cumulato (lordo)</t>
        </is>
      </c>
      <c r="B7" s="26">
        <f>SUM(PRELIEVI!B2:B61)</f>
        <v/>
      </c>
      <c r="C7" s="25" t="inlineStr"/>
    </row>
    <row r="8">
      <c r="A8" s="5" t="inlineStr">
        <is>
          <t>Incassato tuo (netto split)</t>
        </is>
      </c>
      <c r="B8" s="26">
        <f>SUM(PRELIEVI!B2:B61)*IMPOSTAZIONI!B6</f>
        <v/>
      </c>
      <c r="C8" s="25" t="inlineStr"/>
    </row>
    <row r="9">
      <c r="A9" s="5" t="inlineStr">
        <is>
          <t>ROI sul costo della challenge</t>
        </is>
      </c>
      <c r="B9" s="28">
        <f>IFERROR(B8/IMPOSTAZIONI!B7,"-")</f>
        <v/>
      </c>
      <c r="C9" s="25" t="inlineStr">
        <is>
          <t>incassato / costo</t>
        </is>
      </c>
    </row>
    <row r="10">
      <c r="A10" s="5" t="inlineStr"/>
      <c r="B10" s="29" t="inlineStr"/>
      <c r="C10" s="25" t="inlineStr"/>
    </row>
    <row r="11">
      <c r="A11" s="5" t="inlineStr">
        <is>
          <t>Cuscino sopra il saldo iniziale</t>
        </is>
      </c>
      <c r="B11" s="26">
        <f>IFERROR(INDEX(GIORNALIERO!B2:B251,COUNT(GIORNALIERO!$B$2:$B$251)),IMPOSTAZIONI!B3)-IMPOSTAZIONI!B3</f>
        <v/>
      </c>
      <c r="C11" s="25" t="inlineStr">
        <is>
          <t>se negativo, sei sotto il saldo di partenza</t>
        </is>
      </c>
    </row>
    <row r="12">
      <c r="A12" s="5" t="inlineStr">
        <is>
          <t>Distanza dal muro totale</t>
        </is>
      </c>
      <c r="B12" s="26">
        <f>IFERROR(INDEX(GIORNALIERO!B2:B251,COUNT(GIORNALIERO!$B$2:$B$251)),IMPOSTAZIONI!B3)-IMPOSTAZIONI!B10</f>
        <v/>
      </c>
      <c r="C12" s="25" t="inlineStr">
        <is>
          <t>sotto zero = conto perso</t>
        </is>
      </c>
    </row>
    <row r="13">
      <c r="A13" s="5" t="inlineStr">
        <is>
          <t>Peggior giornata registrata (%)</t>
        </is>
      </c>
      <c r="B13" s="27">
        <f>IFERROR(MIN(GIORNALIERO!F2:F251),"-")</f>
        <v/>
      </c>
      <c r="C13" s="25" t="inlineStr">
        <is>
          <t>confronto: atteso -4,74% (misurato sui chiusi)</t>
        </is>
      </c>
    </row>
    <row r="14">
      <c r="A14" s="5" t="inlineStr">
        <is>
          <t>Peggior giornata registrata (EUR)</t>
        </is>
      </c>
      <c r="B14" s="26">
        <f>IFERROR(MIN(GIORNALIERO!E2:E251),"-")</f>
        <v/>
      </c>
      <c r="C14" s="25" t="inlineStr"/>
    </row>
    <row r="15">
      <c r="A15" s="5" t="inlineStr">
        <is>
          <t>Giorni in ATTENZIONE</t>
        </is>
      </c>
      <c r="B15" s="24">
        <f>COUNTIF(GIORNALIERO!K2:K251,"ATTENZIONE")</f>
        <v/>
      </c>
      <c r="C15" s="25" t="inlineStr">
        <is>
          <t>margine giornaliero sotto l1%% dell equity o cuscino totale sotto il 2%</t>
        </is>
      </c>
    </row>
    <row r="16">
      <c r="A16" s="5" t="inlineStr">
        <is>
          <t>Giorni in VIOLAZIONE</t>
        </is>
      </c>
      <c r="B16" s="24">
        <f>COUNTIF(GIORNALIERO!K2:K251,"VIOLAZIONE")</f>
        <v/>
      </c>
      <c r="C16" s="25" t="inlineStr">
        <is>
          <t>deve restare 0</t>
        </is>
      </c>
    </row>
  </sheetData>
  <conditionalFormatting sqref="B12:B13">
    <cfRule type="expression" priority="1" dxfId="0">
      <formula>B12&lt;0</formula>
    </cfRule>
  </conditionalFormatting>
  <conditionalFormatting sqref="B16">
    <cfRule type="expression" priority="2" dxfId="0">
      <formula>B16&gt;0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2026-08-26T17:27:53Z</dcterms:created>
  <dcterms:modified xmlns:dcterms="http://purl.org/dc/terms/" xmlns:xsi="http://www.w3.org/2001/XMLSchema-instance" xsi:type="dcterms:W3CDTF">2026-08-26T17:27:53Z</dcterms:modified>
</cp:coreProperties>
</file>